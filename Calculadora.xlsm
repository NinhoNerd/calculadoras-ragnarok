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D187059020F44071/Documentos/"/>
    </mc:Choice>
  </mc:AlternateContent>
  <xr:revisionPtr revIDLastSave="653" documentId="8_{3DDA6CA8-08F2-4762-86AC-6026DDE42AA7}" xr6:coauthVersionLast="47" xr6:coauthVersionMax="47" xr10:uidLastSave="{BC762122-DA5F-410C-8025-8C0462DEB17D}"/>
  <bookViews>
    <workbookView xWindow="19090" yWindow="-110" windowWidth="19420" windowHeight="10300" xr2:uid="{0E3E88C6-B6F2-4C3A-8CBB-887A2701CE02}"/>
  </bookViews>
  <sheets>
    <sheet name="Farmacologia" sheetId="2" r:id="rId1"/>
    <sheet name="FarmacologiaAvancada" sheetId="4" state="hidden" r:id="rId2"/>
    <sheet name="FarmacologiaAvancadaCalculo" sheetId="5" state="hidden" r:id="rId3"/>
  </sheets>
  <definedNames>
    <definedName name="_xlnm._FilterDatabase" localSheetId="2" hidden="1">FarmacologiaAvancadaCalculo!$M$1:$M$848</definedName>
    <definedName name="_xlchart.v1.0" hidden="1">FarmacologiaAvancadaCalculo!$M$2:$M$848</definedName>
    <definedName name="_xleta.N" hidden="1" xlm="1">#NAME?</definedName>
    <definedName name="ExternalData_1" localSheetId="2" hidden="1">FarmacologiaAvancadaCalculo!#REF!</definedName>
    <definedName name="FATOR">FarmacologiaAvancada!$B$1:$B$11</definedName>
    <definedName name="LEVEL">FarmacologiaAvancada!$A$1:$A$11</definedName>
    <definedName name="NPOCAO">FarmacologiaAvancada!$C$1:$C$11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5" i="2" l="1"/>
  <c r="S5" i="2" s="1"/>
  <c r="T4" i="2"/>
  <c r="U4" i="2"/>
  <c r="N2" i="5"/>
  <c r="B64" i="5"/>
  <c r="B3" i="5"/>
  <c r="C3" i="5"/>
  <c r="D3" i="5"/>
  <c r="E3" i="5"/>
  <c r="F3" i="5"/>
  <c r="G3" i="5"/>
  <c r="H3" i="5"/>
  <c r="B4" i="5"/>
  <c r="C4" i="5"/>
  <c r="D4" i="5"/>
  <c r="E4" i="5"/>
  <c r="F4" i="5"/>
  <c r="G4" i="5"/>
  <c r="H4" i="5"/>
  <c r="B5" i="5"/>
  <c r="C5" i="5"/>
  <c r="D5" i="5"/>
  <c r="E5" i="5"/>
  <c r="F5" i="5"/>
  <c r="G5" i="5"/>
  <c r="H5" i="5"/>
  <c r="B6" i="5"/>
  <c r="C6" i="5"/>
  <c r="D6" i="5"/>
  <c r="E6" i="5"/>
  <c r="F6" i="5"/>
  <c r="G6" i="5"/>
  <c r="H6" i="5"/>
  <c r="B7" i="5"/>
  <c r="C7" i="5"/>
  <c r="D7" i="5"/>
  <c r="E7" i="5"/>
  <c r="F7" i="5"/>
  <c r="G7" i="5"/>
  <c r="H7" i="5"/>
  <c r="B8" i="5"/>
  <c r="C8" i="5"/>
  <c r="D8" i="5"/>
  <c r="E8" i="5"/>
  <c r="F8" i="5"/>
  <c r="G8" i="5"/>
  <c r="H8" i="5"/>
  <c r="B9" i="5"/>
  <c r="C9" i="5"/>
  <c r="D9" i="5"/>
  <c r="E9" i="5"/>
  <c r="F9" i="5"/>
  <c r="G9" i="5"/>
  <c r="H9" i="5"/>
  <c r="B10" i="5"/>
  <c r="C10" i="5"/>
  <c r="D10" i="5"/>
  <c r="E10" i="5"/>
  <c r="F10" i="5"/>
  <c r="G10" i="5"/>
  <c r="H10" i="5"/>
  <c r="B11" i="5"/>
  <c r="C11" i="5"/>
  <c r="D11" i="5"/>
  <c r="E11" i="5"/>
  <c r="F11" i="5"/>
  <c r="G11" i="5"/>
  <c r="H11" i="5"/>
  <c r="B12" i="5"/>
  <c r="C12" i="5"/>
  <c r="D12" i="5"/>
  <c r="E12" i="5"/>
  <c r="F12" i="5"/>
  <c r="G12" i="5"/>
  <c r="H12" i="5"/>
  <c r="B13" i="5"/>
  <c r="C13" i="5"/>
  <c r="D13" i="5"/>
  <c r="E13" i="5"/>
  <c r="F13" i="5"/>
  <c r="G13" i="5"/>
  <c r="H13" i="5"/>
  <c r="B14" i="5"/>
  <c r="C14" i="5"/>
  <c r="D14" i="5"/>
  <c r="E14" i="5"/>
  <c r="F14" i="5"/>
  <c r="G14" i="5"/>
  <c r="H14" i="5"/>
  <c r="B15" i="5"/>
  <c r="C15" i="5"/>
  <c r="D15" i="5"/>
  <c r="E15" i="5"/>
  <c r="F15" i="5"/>
  <c r="G15" i="5"/>
  <c r="H15" i="5"/>
  <c r="B16" i="5"/>
  <c r="C16" i="5"/>
  <c r="D16" i="5"/>
  <c r="E16" i="5"/>
  <c r="F16" i="5"/>
  <c r="G16" i="5"/>
  <c r="H16" i="5"/>
  <c r="B17" i="5"/>
  <c r="C17" i="5"/>
  <c r="D17" i="5"/>
  <c r="E17" i="5"/>
  <c r="F17" i="5"/>
  <c r="G17" i="5"/>
  <c r="H17" i="5"/>
  <c r="B18" i="5"/>
  <c r="C18" i="5"/>
  <c r="D18" i="5"/>
  <c r="E18" i="5"/>
  <c r="F18" i="5"/>
  <c r="G18" i="5"/>
  <c r="H18" i="5"/>
  <c r="B19" i="5"/>
  <c r="C19" i="5"/>
  <c r="D19" i="5"/>
  <c r="E19" i="5"/>
  <c r="F19" i="5"/>
  <c r="G19" i="5"/>
  <c r="H19" i="5"/>
  <c r="B20" i="5"/>
  <c r="C20" i="5"/>
  <c r="D20" i="5"/>
  <c r="E20" i="5"/>
  <c r="F20" i="5"/>
  <c r="G20" i="5"/>
  <c r="H20" i="5"/>
  <c r="B21" i="5"/>
  <c r="C21" i="5"/>
  <c r="D21" i="5"/>
  <c r="E21" i="5"/>
  <c r="F21" i="5"/>
  <c r="G21" i="5"/>
  <c r="H21" i="5"/>
  <c r="B22" i="5"/>
  <c r="C22" i="5"/>
  <c r="D22" i="5"/>
  <c r="E22" i="5"/>
  <c r="F22" i="5"/>
  <c r="G22" i="5"/>
  <c r="H22" i="5"/>
  <c r="B23" i="5"/>
  <c r="C23" i="5"/>
  <c r="D23" i="5"/>
  <c r="E23" i="5"/>
  <c r="F23" i="5"/>
  <c r="G23" i="5"/>
  <c r="H23" i="5"/>
  <c r="B24" i="5"/>
  <c r="C24" i="5"/>
  <c r="D24" i="5"/>
  <c r="E24" i="5"/>
  <c r="F24" i="5"/>
  <c r="G24" i="5"/>
  <c r="H24" i="5"/>
  <c r="B25" i="5"/>
  <c r="C25" i="5"/>
  <c r="D25" i="5"/>
  <c r="E25" i="5"/>
  <c r="F25" i="5"/>
  <c r="G25" i="5"/>
  <c r="H25" i="5"/>
  <c r="B26" i="5"/>
  <c r="C26" i="5"/>
  <c r="D26" i="5"/>
  <c r="E26" i="5"/>
  <c r="F26" i="5"/>
  <c r="G26" i="5"/>
  <c r="H26" i="5"/>
  <c r="B27" i="5"/>
  <c r="C27" i="5"/>
  <c r="D27" i="5"/>
  <c r="E27" i="5"/>
  <c r="F27" i="5"/>
  <c r="G27" i="5"/>
  <c r="H27" i="5"/>
  <c r="B28" i="5"/>
  <c r="C28" i="5"/>
  <c r="D28" i="5"/>
  <c r="E28" i="5"/>
  <c r="F28" i="5"/>
  <c r="G28" i="5"/>
  <c r="H28" i="5"/>
  <c r="B29" i="5"/>
  <c r="C29" i="5"/>
  <c r="D29" i="5"/>
  <c r="E29" i="5"/>
  <c r="F29" i="5"/>
  <c r="G29" i="5"/>
  <c r="H29" i="5"/>
  <c r="B30" i="5"/>
  <c r="C30" i="5"/>
  <c r="D30" i="5"/>
  <c r="E30" i="5"/>
  <c r="F30" i="5"/>
  <c r="G30" i="5"/>
  <c r="H30" i="5"/>
  <c r="B31" i="5"/>
  <c r="C31" i="5"/>
  <c r="D31" i="5"/>
  <c r="E31" i="5"/>
  <c r="F31" i="5"/>
  <c r="G31" i="5"/>
  <c r="H31" i="5"/>
  <c r="B32" i="5"/>
  <c r="C32" i="5"/>
  <c r="D32" i="5"/>
  <c r="E32" i="5"/>
  <c r="F32" i="5"/>
  <c r="G32" i="5"/>
  <c r="H32" i="5"/>
  <c r="B33" i="5"/>
  <c r="C33" i="5"/>
  <c r="D33" i="5"/>
  <c r="E33" i="5"/>
  <c r="F33" i="5"/>
  <c r="G33" i="5"/>
  <c r="H33" i="5"/>
  <c r="B34" i="5"/>
  <c r="C34" i="5"/>
  <c r="D34" i="5"/>
  <c r="E34" i="5"/>
  <c r="F34" i="5"/>
  <c r="G34" i="5"/>
  <c r="H34" i="5"/>
  <c r="B35" i="5"/>
  <c r="C35" i="5"/>
  <c r="D35" i="5"/>
  <c r="E35" i="5"/>
  <c r="F35" i="5"/>
  <c r="G35" i="5"/>
  <c r="H35" i="5"/>
  <c r="B36" i="5"/>
  <c r="C36" i="5"/>
  <c r="D36" i="5"/>
  <c r="E36" i="5"/>
  <c r="F36" i="5"/>
  <c r="G36" i="5"/>
  <c r="H36" i="5"/>
  <c r="B37" i="5"/>
  <c r="C37" i="5"/>
  <c r="D37" i="5"/>
  <c r="E37" i="5"/>
  <c r="F37" i="5"/>
  <c r="G37" i="5"/>
  <c r="H37" i="5"/>
  <c r="B38" i="5"/>
  <c r="C38" i="5"/>
  <c r="D38" i="5"/>
  <c r="E38" i="5"/>
  <c r="F38" i="5"/>
  <c r="G38" i="5"/>
  <c r="H38" i="5"/>
  <c r="B39" i="5"/>
  <c r="C39" i="5"/>
  <c r="D39" i="5"/>
  <c r="E39" i="5"/>
  <c r="F39" i="5"/>
  <c r="G39" i="5"/>
  <c r="H39" i="5"/>
  <c r="B40" i="5"/>
  <c r="C40" i="5"/>
  <c r="D40" i="5"/>
  <c r="E40" i="5"/>
  <c r="F40" i="5"/>
  <c r="G40" i="5"/>
  <c r="H40" i="5"/>
  <c r="B41" i="5"/>
  <c r="C41" i="5"/>
  <c r="D41" i="5"/>
  <c r="E41" i="5"/>
  <c r="F41" i="5"/>
  <c r="G41" i="5"/>
  <c r="H41" i="5"/>
  <c r="B42" i="5"/>
  <c r="C42" i="5"/>
  <c r="D42" i="5"/>
  <c r="E42" i="5"/>
  <c r="F42" i="5"/>
  <c r="G42" i="5"/>
  <c r="H42" i="5"/>
  <c r="B43" i="5"/>
  <c r="C43" i="5"/>
  <c r="D43" i="5"/>
  <c r="E43" i="5"/>
  <c r="F43" i="5"/>
  <c r="G43" i="5"/>
  <c r="H43" i="5"/>
  <c r="B44" i="5"/>
  <c r="C44" i="5"/>
  <c r="D44" i="5"/>
  <c r="E44" i="5"/>
  <c r="F44" i="5"/>
  <c r="G44" i="5"/>
  <c r="H44" i="5"/>
  <c r="B45" i="5"/>
  <c r="C45" i="5"/>
  <c r="D45" i="5"/>
  <c r="E45" i="5"/>
  <c r="F45" i="5"/>
  <c r="G45" i="5"/>
  <c r="H45" i="5"/>
  <c r="B46" i="5"/>
  <c r="C46" i="5"/>
  <c r="D46" i="5"/>
  <c r="E46" i="5"/>
  <c r="F46" i="5"/>
  <c r="G46" i="5"/>
  <c r="H46" i="5"/>
  <c r="B47" i="5"/>
  <c r="C47" i="5"/>
  <c r="D47" i="5"/>
  <c r="E47" i="5"/>
  <c r="F47" i="5"/>
  <c r="G47" i="5"/>
  <c r="H47" i="5"/>
  <c r="B48" i="5"/>
  <c r="C48" i="5"/>
  <c r="D48" i="5"/>
  <c r="E48" i="5"/>
  <c r="F48" i="5"/>
  <c r="G48" i="5"/>
  <c r="H48" i="5"/>
  <c r="B49" i="5"/>
  <c r="C49" i="5"/>
  <c r="D49" i="5"/>
  <c r="E49" i="5"/>
  <c r="F49" i="5"/>
  <c r="G49" i="5"/>
  <c r="H49" i="5"/>
  <c r="B50" i="5"/>
  <c r="C50" i="5"/>
  <c r="D50" i="5"/>
  <c r="E50" i="5"/>
  <c r="F50" i="5"/>
  <c r="G50" i="5"/>
  <c r="H50" i="5"/>
  <c r="B51" i="5"/>
  <c r="C51" i="5"/>
  <c r="D51" i="5"/>
  <c r="E51" i="5"/>
  <c r="F51" i="5"/>
  <c r="G51" i="5"/>
  <c r="H51" i="5"/>
  <c r="B52" i="5"/>
  <c r="C52" i="5"/>
  <c r="D52" i="5"/>
  <c r="E52" i="5"/>
  <c r="F52" i="5"/>
  <c r="G52" i="5"/>
  <c r="H52" i="5"/>
  <c r="B53" i="5"/>
  <c r="C53" i="5"/>
  <c r="D53" i="5"/>
  <c r="E53" i="5"/>
  <c r="F53" i="5"/>
  <c r="G53" i="5"/>
  <c r="H53" i="5"/>
  <c r="B54" i="5"/>
  <c r="C54" i="5"/>
  <c r="D54" i="5"/>
  <c r="E54" i="5"/>
  <c r="F54" i="5"/>
  <c r="G54" i="5"/>
  <c r="H54" i="5"/>
  <c r="B55" i="5"/>
  <c r="C55" i="5"/>
  <c r="D55" i="5"/>
  <c r="E55" i="5"/>
  <c r="F55" i="5"/>
  <c r="G55" i="5"/>
  <c r="H55" i="5"/>
  <c r="B56" i="5"/>
  <c r="C56" i="5"/>
  <c r="D56" i="5"/>
  <c r="E56" i="5"/>
  <c r="F56" i="5"/>
  <c r="G56" i="5"/>
  <c r="H56" i="5"/>
  <c r="B57" i="5"/>
  <c r="C57" i="5"/>
  <c r="D57" i="5"/>
  <c r="E57" i="5"/>
  <c r="F57" i="5"/>
  <c r="G57" i="5"/>
  <c r="H57" i="5"/>
  <c r="B58" i="5"/>
  <c r="C58" i="5"/>
  <c r="D58" i="5"/>
  <c r="E58" i="5"/>
  <c r="F58" i="5"/>
  <c r="G58" i="5"/>
  <c r="H58" i="5"/>
  <c r="B59" i="5"/>
  <c r="C59" i="5"/>
  <c r="D59" i="5"/>
  <c r="E59" i="5"/>
  <c r="F59" i="5"/>
  <c r="G59" i="5"/>
  <c r="H59" i="5"/>
  <c r="B60" i="5"/>
  <c r="C60" i="5"/>
  <c r="D60" i="5"/>
  <c r="E60" i="5"/>
  <c r="F60" i="5"/>
  <c r="G60" i="5"/>
  <c r="H60" i="5"/>
  <c r="B61" i="5"/>
  <c r="C61" i="5"/>
  <c r="D61" i="5"/>
  <c r="E61" i="5"/>
  <c r="F61" i="5"/>
  <c r="G61" i="5"/>
  <c r="H61" i="5"/>
  <c r="B62" i="5"/>
  <c r="C62" i="5"/>
  <c r="D62" i="5"/>
  <c r="E62" i="5"/>
  <c r="F62" i="5"/>
  <c r="G62" i="5"/>
  <c r="H62" i="5"/>
  <c r="B63" i="5"/>
  <c r="C63" i="5"/>
  <c r="D63" i="5"/>
  <c r="E63" i="5"/>
  <c r="F63" i="5"/>
  <c r="G63" i="5"/>
  <c r="H63" i="5"/>
  <c r="C64" i="5"/>
  <c r="D64" i="5"/>
  <c r="E64" i="5"/>
  <c r="F64" i="5"/>
  <c r="G64" i="5"/>
  <c r="H64" i="5"/>
  <c r="B65" i="5"/>
  <c r="C65" i="5"/>
  <c r="D65" i="5"/>
  <c r="E65" i="5"/>
  <c r="F65" i="5"/>
  <c r="G65" i="5"/>
  <c r="H65" i="5"/>
  <c r="B66" i="5"/>
  <c r="C66" i="5"/>
  <c r="D66" i="5"/>
  <c r="E66" i="5"/>
  <c r="F66" i="5"/>
  <c r="G66" i="5"/>
  <c r="H66" i="5"/>
  <c r="B67" i="5"/>
  <c r="C67" i="5"/>
  <c r="D67" i="5"/>
  <c r="E67" i="5"/>
  <c r="F67" i="5"/>
  <c r="G67" i="5"/>
  <c r="H67" i="5"/>
  <c r="B68" i="5"/>
  <c r="C68" i="5"/>
  <c r="D68" i="5"/>
  <c r="E68" i="5"/>
  <c r="F68" i="5"/>
  <c r="G68" i="5"/>
  <c r="H68" i="5"/>
  <c r="B69" i="5"/>
  <c r="C69" i="5"/>
  <c r="D69" i="5"/>
  <c r="E69" i="5"/>
  <c r="F69" i="5"/>
  <c r="G69" i="5"/>
  <c r="H69" i="5"/>
  <c r="B70" i="5"/>
  <c r="C70" i="5"/>
  <c r="D70" i="5"/>
  <c r="E70" i="5"/>
  <c r="F70" i="5"/>
  <c r="G70" i="5"/>
  <c r="H70" i="5"/>
  <c r="B71" i="5"/>
  <c r="C71" i="5"/>
  <c r="D71" i="5"/>
  <c r="E71" i="5"/>
  <c r="F71" i="5"/>
  <c r="G71" i="5"/>
  <c r="H71" i="5"/>
  <c r="B72" i="5"/>
  <c r="C72" i="5"/>
  <c r="D72" i="5"/>
  <c r="E72" i="5"/>
  <c r="F72" i="5"/>
  <c r="G72" i="5"/>
  <c r="H72" i="5"/>
  <c r="B73" i="5"/>
  <c r="C73" i="5"/>
  <c r="D73" i="5"/>
  <c r="E73" i="5"/>
  <c r="F73" i="5"/>
  <c r="G73" i="5"/>
  <c r="H73" i="5"/>
  <c r="B74" i="5"/>
  <c r="C74" i="5"/>
  <c r="D74" i="5"/>
  <c r="E74" i="5"/>
  <c r="F74" i="5"/>
  <c r="G74" i="5"/>
  <c r="H74" i="5"/>
  <c r="B75" i="5"/>
  <c r="C75" i="5"/>
  <c r="D75" i="5"/>
  <c r="E75" i="5"/>
  <c r="F75" i="5"/>
  <c r="G75" i="5"/>
  <c r="H75" i="5"/>
  <c r="B76" i="5"/>
  <c r="C76" i="5"/>
  <c r="D76" i="5"/>
  <c r="E76" i="5"/>
  <c r="F76" i="5"/>
  <c r="G76" i="5"/>
  <c r="H76" i="5"/>
  <c r="B77" i="5"/>
  <c r="C77" i="5"/>
  <c r="D77" i="5"/>
  <c r="E77" i="5"/>
  <c r="F77" i="5"/>
  <c r="G77" i="5"/>
  <c r="H77" i="5"/>
  <c r="B78" i="5"/>
  <c r="C78" i="5"/>
  <c r="D78" i="5"/>
  <c r="E78" i="5"/>
  <c r="F78" i="5"/>
  <c r="G78" i="5"/>
  <c r="H78" i="5"/>
  <c r="B79" i="5"/>
  <c r="C79" i="5"/>
  <c r="D79" i="5"/>
  <c r="E79" i="5"/>
  <c r="F79" i="5"/>
  <c r="G79" i="5"/>
  <c r="H79" i="5"/>
  <c r="B80" i="5"/>
  <c r="C80" i="5"/>
  <c r="D80" i="5"/>
  <c r="E80" i="5"/>
  <c r="F80" i="5"/>
  <c r="G80" i="5"/>
  <c r="H80" i="5"/>
  <c r="B81" i="5"/>
  <c r="C81" i="5"/>
  <c r="D81" i="5"/>
  <c r="E81" i="5"/>
  <c r="F81" i="5"/>
  <c r="G81" i="5"/>
  <c r="H81" i="5"/>
  <c r="B82" i="5"/>
  <c r="C82" i="5"/>
  <c r="D82" i="5"/>
  <c r="E82" i="5"/>
  <c r="F82" i="5"/>
  <c r="G82" i="5"/>
  <c r="H82" i="5"/>
  <c r="B83" i="5"/>
  <c r="C83" i="5"/>
  <c r="D83" i="5"/>
  <c r="E83" i="5"/>
  <c r="F83" i="5"/>
  <c r="G83" i="5"/>
  <c r="H83" i="5"/>
  <c r="B84" i="5"/>
  <c r="C84" i="5"/>
  <c r="D84" i="5"/>
  <c r="E84" i="5"/>
  <c r="F84" i="5"/>
  <c r="G84" i="5"/>
  <c r="H84" i="5"/>
  <c r="B85" i="5"/>
  <c r="C85" i="5"/>
  <c r="D85" i="5"/>
  <c r="E85" i="5"/>
  <c r="F85" i="5"/>
  <c r="G85" i="5"/>
  <c r="H85" i="5"/>
  <c r="B86" i="5"/>
  <c r="C86" i="5"/>
  <c r="D86" i="5"/>
  <c r="E86" i="5"/>
  <c r="F86" i="5"/>
  <c r="G86" i="5"/>
  <c r="H86" i="5"/>
  <c r="B87" i="5"/>
  <c r="C87" i="5"/>
  <c r="D87" i="5"/>
  <c r="E87" i="5"/>
  <c r="F87" i="5"/>
  <c r="G87" i="5"/>
  <c r="H87" i="5"/>
  <c r="B88" i="5"/>
  <c r="C88" i="5"/>
  <c r="D88" i="5"/>
  <c r="E88" i="5"/>
  <c r="F88" i="5"/>
  <c r="G88" i="5"/>
  <c r="H88" i="5"/>
  <c r="B89" i="5"/>
  <c r="C89" i="5"/>
  <c r="D89" i="5"/>
  <c r="E89" i="5"/>
  <c r="F89" i="5"/>
  <c r="G89" i="5"/>
  <c r="H89" i="5"/>
  <c r="B90" i="5"/>
  <c r="C90" i="5"/>
  <c r="D90" i="5"/>
  <c r="E90" i="5"/>
  <c r="F90" i="5"/>
  <c r="G90" i="5"/>
  <c r="H90" i="5"/>
  <c r="B91" i="5"/>
  <c r="C91" i="5"/>
  <c r="D91" i="5"/>
  <c r="E91" i="5"/>
  <c r="F91" i="5"/>
  <c r="G91" i="5"/>
  <c r="H91" i="5"/>
  <c r="B92" i="5"/>
  <c r="C92" i="5"/>
  <c r="D92" i="5"/>
  <c r="E92" i="5"/>
  <c r="F92" i="5"/>
  <c r="G92" i="5"/>
  <c r="H92" i="5"/>
  <c r="B93" i="5"/>
  <c r="C93" i="5"/>
  <c r="D93" i="5"/>
  <c r="E93" i="5"/>
  <c r="F93" i="5"/>
  <c r="G93" i="5"/>
  <c r="H93" i="5"/>
  <c r="B94" i="5"/>
  <c r="C94" i="5"/>
  <c r="D94" i="5"/>
  <c r="E94" i="5"/>
  <c r="F94" i="5"/>
  <c r="G94" i="5"/>
  <c r="H94" i="5"/>
  <c r="B95" i="5"/>
  <c r="C95" i="5"/>
  <c r="D95" i="5"/>
  <c r="E95" i="5"/>
  <c r="F95" i="5"/>
  <c r="G95" i="5"/>
  <c r="H95" i="5"/>
  <c r="B96" i="5"/>
  <c r="C96" i="5"/>
  <c r="D96" i="5"/>
  <c r="E96" i="5"/>
  <c r="F96" i="5"/>
  <c r="G96" i="5"/>
  <c r="H96" i="5"/>
  <c r="B97" i="5"/>
  <c r="C97" i="5"/>
  <c r="D97" i="5"/>
  <c r="E97" i="5"/>
  <c r="F97" i="5"/>
  <c r="G97" i="5"/>
  <c r="H97" i="5"/>
  <c r="B98" i="5"/>
  <c r="C98" i="5"/>
  <c r="D98" i="5"/>
  <c r="E98" i="5"/>
  <c r="F98" i="5"/>
  <c r="G98" i="5"/>
  <c r="H98" i="5"/>
  <c r="B99" i="5"/>
  <c r="C99" i="5"/>
  <c r="D99" i="5"/>
  <c r="E99" i="5"/>
  <c r="F99" i="5"/>
  <c r="G99" i="5"/>
  <c r="H99" i="5"/>
  <c r="B100" i="5"/>
  <c r="C100" i="5"/>
  <c r="D100" i="5"/>
  <c r="E100" i="5"/>
  <c r="F100" i="5"/>
  <c r="G100" i="5"/>
  <c r="H100" i="5"/>
  <c r="B101" i="5"/>
  <c r="C101" i="5"/>
  <c r="D101" i="5"/>
  <c r="E101" i="5"/>
  <c r="F101" i="5"/>
  <c r="G101" i="5"/>
  <c r="H101" i="5"/>
  <c r="B102" i="5"/>
  <c r="C102" i="5"/>
  <c r="D102" i="5"/>
  <c r="E102" i="5"/>
  <c r="F102" i="5"/>
  <c r="G102" i="5"/>
  <c r="H102" i="5"/>
  <c r="B103" i="5"/>
  <c r="C103" i="5"/>
  <c r="D103" i="5"/>
  <c r="E103" i="5"/>
  <c r="F103" i="5"/>
  <c r="G103" i="5"/>
  <c r="H103" i="5"/>
  <c r="B104" i="5"/>
  <c r="C104" i="5"/>
  <c r="D104" i="5"/>
  <c r="E104" i="5"/>
  <c r="F104" i="5"/>
  <c r="G104" i="5"/>
  <c r="H104" i="5"/>
  <c r="B105" i="5"/>
  <c r="C105" i="5"/>
  <c r="D105" i="5"/>
  <c r="E105" i="5"/>
  <c r="F105" i="5"/>
  <c r="G105" i="5"/>
  <c r="H105" i="5"/>
  <c r="B106" i="5"/>
  <c r="C106" i="5"/>
  <c r="D106" i="5"/>
  <c r="E106" i="5"/>
  <c r="F106" i="5"/>
  <c r="G106" i="5"/>
  <c r="H106" i="5"/>
  <c r="B107" i="5"/>
  <c r="C107" i="5"/>
  <c r="D107" i="5"/>
  <c r="E107" i="5"/>
  <c r="F107" i="5"/>
  <c r="G107" i="5"/>
  <c r="H107" i="5"/>
  <c r="B108" i="5"/>
  <c r="C108" i="5"/>
  <c r="D108" i="5"/>
  <c r="E108" i="5"/>
  <c r="F108" i="5"/>
  <c r="G108" i="5"/>
  <c r="H108" i="5"/>
  <c r="B109" i="5"/>
  <c r="C109" i="5"/>
  <c r="D109" i="5"/>
  <c r="E109" i="5"/>
  <c r="F109" i="5"/>
  <c r="G109" i="5"/>
  <c r="H109" i="5"/>
  <c r="B110" i="5"/>
  <c r="C110" i="5"/>
  <c r="D110" i="5"/>
  <c r="E110" i="5"/>
  <c r="F110" i="5"/>
  <c r="G110" i="5"/>
  <c r="H110" i="5"/>
  <c r="B111" i="5"/>
  <c r="C111" i="5"/>
  <c r="D111" i="5"/>
  <c r="E111" i="5"/>
  <c r="F111" i="5"/>
  <c r="G111" i="5"/>
  <c r="H111" i="5"/>
  <c r="B112" i="5"/>
  <c r="C112" i="5"/>
  <c r="D112" i="5"/>
  <c r="E112" i="5"/>
  <c r="F112" i="5"/>
  <c r="G112" i="5"/>
  <c r="H112" i="5"/>
  <c r="B113" i="5"/>
  <c r="C113" i="5"/>
  <c r="D113" i="5"/>
  <c r="E113" i="5"/>
  <c r="F113" i="5"/>
  <c r="G113" i="5"/>
  <c r="H113" i="5"/>
  <c r="B114" i="5"/>
  <c r="C114" i="5"/>
  <c r="D114" i="5"/>
  <c r="E114" i="5"/>
  <c r="F114" i="5"/>
  <c r="G114" i="5"/>
  <c r="H114" i="5"/>
  <c r="B115" i="5"/>
  <c r="C115" i="5"/>
  <c r="D115" i="5"/>
  <c r="E115" i="5"/>
  <c r="F115" i="5"/>
  <c r="G115" i="5"/>
  <c r="H115" i="5"/>
  <c r="B116" i="5"/>
  <c r="C116" i="5"/>
  <c r="D116" i="5"/>
  <c r="E116" i="5"/>
  <c r="F116" i="5"/>
  <c r="G116" i="5"/>
  <c r="H116" i="5"/>
  <c r="B117" i="5"/>
  <c r="C117" i="5"/>
  <c r="D117" i="5"/>
  <c r="E117" i="5"/>
  <c r="F117" i="5"/>
  <c r="G117" i="5"/>
  <c r="H117" i="5"/>
  <c r="B118" i="5"/>
  <c r="C118" i="5"/>
  <c r="D118" i="5"/>
  <c r="E118" i="5"/>
  <c r="F118" i="5"/>
  <c r="G118" i="5"/>
  <c r="H118" i="5"/>
  <c r="B119" i="5"/>
  <c r="C119" i="5"/>
  <c r="D119" i="5"/>
  <c r="E119" i="5"/>
  <c r="F119" i="5"/>
  <c r="G119" i="5"/>
  <c r="H119" i="5"/>
  <c r="B120" i="5"/>
  <c r="C120" i="5"/>
  <c r="D120" i="5"/>
  <c r="E120" i="5"/>
  <c r="F120" i="5"/>
  <c r="G120" i="5"/>
  <c r="H120" i="5"/>
  <c r="B121" i="5"/>
  <c r="C121" i="5"/>
  <c r="D121" i="5"/>
  <c r="E121" i="5"/>
  <c r="F121" i="5"/>
  <c r="G121" i="5"/>
  <c r="H121" i="5"/>
  <c r="B122" i="5"/>
  <c r="C122" i="5"/>
  <c r="D122" i="5"/>
  <c r="E122" i="5"/>
  <c r="F122" i="5"/>
  <c r="G122" i="5"/>
  <c r="H122" i="5"/>
  <c r="C2" i="5"/>
  <c r="D2" i="5"/>
  <c r="E2" i="5"/>
  <c r="F2" i="5"/>
  <c r="G2" i="5"/>
  <c r="H2" i="5"/>
  <c r="B2" i="5"/>
  <c r="Q5" i="2"/>
  <c r="R4" i="2"/>
  <c r="V4" i="2" s="1"/>
  <c r="R3" i="2"/>
  <c r="S3" i="2" s="1"/>
  <c r="R2" i="2"/>
  <c r="V2" i="2" s="1"/>
  <c r="Q4" i="2"/>
  <c r="Q3" i="2"/>
  <c r="Q2" i="2"/>
  <c r="E2" i="2"/>
  <c r="D2" i="2"/>
  <c r="V1" i="5" s="1"/>
  <c r="S4" i="2" l="1"/>
  <c r="V3" i="2"/>
  <c r="U3" i="2"/>
  <c r="T3" i="2"/>
  <c r="S2" i="2"/>
  <c r="T2" i="2"/>
  <c r="V5" i="2"/>
  <c r="U2" i="2"/>
  <c r="U5" i="2"/>
  <c r="T5" i="2"/>
  <c r="S1" i="5"/>
  <c r="S3" i="5" s="1"/>
  <c r="R1" i="5"/>
  <c r="R5" i="5" s="1"/>
  <c r="T1" i="5"/>
  <c r="T2" i="5" s="1"/>
  <c r="Q1" i="5"/>
  <c r="U1" i="5"/>
  <c r="U6" i="5" s="1"/>
  <c r="W1" i="5"/>
  <c r="W4" i="5" s="1"/>
  <c r="P1" i="5"/>
  <c r="P3" i="5" s="1"/>
  <c r="Q2" i="5"/>
  <c r="P6" i="5"/>
  <c r="R6" i="5"/>
  <c r="Q5" i="5"/>
  <c r="U4" i="5"/>
  <c r="K6" i="2" s="1"/>
  <c r="T4" i="5"/>
  <c r="W6" i="5"/>
  <c r="W2" i="5"/>
  <c r="V6" i="5"/>
  <c r="V2" i="5"/>
  <c r="R3" i="5"/>
  <c r="T6" i="5"/>
  <c r="V4" i="5"/>
  <c r="Q3" i="5"/>
  <c r="Q6" i="5"/>
  <c r="S4" i="5"/>
  <c r="U2" i="5"/>
  <c r="P2" i="5"/>
  <c r="W5" i="5"/>
  <c r="R4" i="5"/>
  <c r="V5" i="5"/>
  <c r="Q4" i="5"/>
  <c r="P4" i="5"/>
  <c r="U5" i="5"/>
  <c r="L6" i="2" s="1"/>
  <c r="W3" i="5"/>
  <c r="R2" i="5"/>
  <c r="P5" i="5"/>
  <c r="T5" i="5"/>
  <c r="V3" i="5"/>
  <c r="S5" i="5" l="1"/>
  <c r="S2" i="5"/>
  <c r="I4" i="2" s="1"/>
  <c r="S6" i="5"/>
  <c r="M12" i="2" s="1"/>
  <c r="I19" i="2"/>
  <c r="M6" i="2"/>
  <c r="U3" i="5"/>
  <c r="J6" i="2" s="1"/>
  <c r="I14" i="2"/>
  <c r="T3" i="5"/>
  <c r="J5" i="2" s="1"/>
  <c r="K2" i="2"/>
  <c r="K15" i="2"/>
  <c r="K18" i="2"/>
  <c r="J19" i="2"/>
  <c r="J14" i="2"/>
  <c r="K5" i="2"/>
  <c r="K17" i="2"/>
  <c r="K10" i="2"/>
  <c r="K11" i="2"/>
  <c r="K19" i="2"/>
  <c r="K14" i="2"/>
  <c r="J3" i="2"/>
  <c r="J16" i="2"/>
  <c r="J20" i="2"/>
  <c r="L12" i="2"/>
  <c r="L4" i="2"/>
  <c r="L13" i="2"/>
  <c r="J12" i="2"/>
  <c r="J4" i="2"/>
  <c r="J13" i="2"/>
  <c r="J2" i="2"/>
  <c r="J15" i="2"/>
  <c r="J18" i="2"/>
  <c r="M17" i="2"/>
  <c r="M5" i="2"/>
  <c r="K9" i="2"/>
  <c r="K7" i="2"/>
  <c r="K8" i="2"/>
  <c r="L3" i="2"/>
  <c r="L20" i="2"/>
  <c r="L16" i="2"/>
  <c r="J9" i="2"/>
  <c r="J7" i="2"/>
  <c r="J8" i="2"/>
  <c r="L14" i="2"/>
  <c r="L19" i="2"/>
  <c r="J10" i="2"/>
  <c r="J11" i="2"/>
  <c r="K3" i="2"/>
  <c r="K16" i="2"/>
  <c r="K20" i="2"/>
  <c r="M3" i="2"/>
  <c r="M20" i="2"/>
  <c r="M16" i="2"/>
  <c r="M19" i="2"/>
  <c r="M14" i="2"/>
  <c r="L10" i="2"/>
  <c r="L11" i="2"/>
  <c r="L5" i="2"/>
  <c r="L17" i="2"/>
  <c r="L9" i="2"/>
  <c r="L8" i="2"/>
  <c r="L7" i="2"/>
  <c r="M11" i="2"/>
  <c r="M10" i="2"/>
  <c r="L2" i="2"/>
  <c r="L15" i="2"/>
  <c r="L18" i="2"/>
  <c r="M2" i="2"/>
  <c r="M15" i="2"/>
  <c r="M18" i="2"/>
  <c r="K12" i="2"/>
  <c r="K4" i="2"/>
  <c r="K13" i="2"/>
  <c r="M9" i="2"/>
  <c r="M7" i="2"/>
  <c r="M8" i="2"/>
  <c r="I10" i="2"/>
  <c r="I11" i="2"/>
  <c r="I2" i="2"/>
  <c r="I15" i="2"/>
  <c r="I18" i="2"/>
  <c r="I7" i="2"/>
  <c r="I8" i="2"/>
  <c r="I9" i="2"/>
  <c r="I3" i="2"/>
  <c r="N3" i="2" s="1"/>
  <c r="I16" i="2"/>
  <c r="I20" i="2"/>
  <c r="I6" i="2"/>
  <c r="I13" i="2"/>
  <c r="I5" i="2"/>
  <c r="I17" i="2"/>
  <c r="I12" i="2" l="1"/>
  <c r="N9" i="2"/>
  <c r="N6" i="2"/>
  <c r="N14" i="2"/>
  <c r="N5" i="2"/>
  <c r="N11" i="2"/>
  <c r="N8" i="2"/>
  <c r="N15" i="2"/>
  <c r="N2" i="2"/>
  <c r="N10" i="2"/>
  <c r="N19" i="2"/>
  <c r="N18" i="2"/>
  <c r="N12" i="2"/>
  <c r="N20" i="2"/>
  <c r="N7" i="2"/>
  <c r="N16" i="2"/>
  <c r="M4" i="2"/>
  <c r="N4" i="2" s="1"/>
  <c r="M13" i="2"/>
  <c r="N13" i="2" s="1"/>
  <c r="J17" i="2"/>
  <c r="N17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AEF0CA2-0195-4AFF-8CF2-918C5DDBE7C6}" keepAlive="1" name="Query - CombinacaoFarmacologia" description="Connection to the 'CombinacaoFarmacologia' query in the workbook." type="5" refreshedVersion="8" background="1" saveData="1">
    <dbPr connection="Provider=Microsoft.Mashup.OleDb.1;Data Source=$Workbook$;Location=CombinacaoFarmacologia;Extended Properties=&quot;&quot;" command="SELECT * FROM [CombinacaoFarmacologia]"/>
  </connection>
</connections>
</file>

<file path=xl/sharedStrings.xml><?xml version="1.0" encoding="utf-8"?>
<sst xmlns="http://schemas.openxmlformats.org/spreadsheetml/2006/main" count="64" uniqueCount="58">
  <si>
    <t>Atributos</t>
  </si>
  <si>
    <t>PESQUISA DE POÇÕES</t>
  </si>
  <si>
    <t>PROTEÇÃO QUÍMICA TOTAL</t>
  </si>
  <si>
    <t>Poção Branca Especial</t>
  </si>
  <si>
    <t>Poção Vitata 500</t>
  </si>
  <si>
    <t>Suco Celular Enriquecido</t>
  </si>
  <si>
    <t>Poção de Recuperação</t>
  </si>
  <si>
    <t>Elixir Vermelho</t>
  </si>
  <si>
    <t>Elixir Azul</t>
  </si>
  <si>
    <t>Elixir Dourado</t>
  </si>
  <si>
    <t>Poção X</t>
  </si>
  <si>
    <t>Energético Físico</t>
  </si>
  <si>
    <t>ITEM</t>
  </si>
  <si>
    <t>TAXA</t>
  </si>
  <si>
    <t>Semente de Planta Selvagem</t>
  </si>
  <si>
    <t>Semente de Planta Sanguessuga</t>
  </si>
  <si>
    <t>Poção Pequena de HP</t>
  </si>
  <si>
    <t>Poção Média de HP</t>
  </si>
  <si>
    <t>Poção Grande de HP</t>
  </si>
  <si>
    <t>Poção Pequena de SP</t>
  </si>
  <si>
    <t>Poção Média de SP</t>
  </si>
  <si>
    <t>Poção Grande de SP</t>
  </si>
  <si>
    <t>LEVEL</t>
  </si>
  <si>
    <t>FATOR</t>
  </si>
  <si>
    <t>FARMACOLOGIA AVANÇADA</t>
  </si>
  <si>
    <t>MÁX. POÇÔES</t>
  </si>
  <si>
    <t>NPOCAO</t>
  </si>
  <si>
    <t>**</t>
  </si>
  <si>
    <t>* Preencher apenas as céluas coloridas</t>
  </si>
  <si>
    <t>** Selecionar valor na lista</t>
  </si>
  <si>
    <t>INT TOTAL</t>
  </si>
  <si>
    <t>DEX TOTAL</t>
  </si>
  <si>
    <t>SOR TOTAL</t>
  </si>
  <si>
    <t>NÍVEL DE BASE</t>
  </si>
  <si>
    <t>NÍVEL DE CLASSE</t>
  </si>
  <si>
    <t>CUSTO TOTAL</t>
  </si>
  <si>
    <t>CUSTO COM DESCONTO(Lvl10)</t>
  </si>
  <si>
    <t>Max</t>
  </si>
  <si>
    <t>Max-3</t>
  </si>
  <si>
    <t>Max-4</t>
  </si>
  <si>
    <t>Max-5</t>
  </si>
  <si>
    <t>Max-6</t>
  </si>
  <si>
    <t>Taxax</t>
  </si>
  <si>
    <t>&gt; n</t>
  </si>
  <si>
    <t>&gt;n+100</t>
  </si>
  <si>
    <t>&gt; n+300</t>
  </si>
  <si>
    <t>&gt;n+ 400</t>
  </si>
  <si>
    <t>&lt; n</t>
  </si>
  <si>
    <t>**** B = Taxa do item  + Fator</t>
  </si>
  <si>
    <t>***  A = INT + (DES ÷ 2) + SOR + Nv. de classe + Número aleatório entre 30 e 150 + (Nv. de base − 100) + (Nv. de Pesquisa de Poções × 5) + (Nv. de Proteção Química Total × Número aleatório entre 4 a 10)</t>
  </si>
  <si>
    <t>Se "A" for 400 pontos maior que "B" → Cria o número de poções = Máx. de poções
Se "A" for 300 pontos maior que "B" → Cria o número de poções = [Máx. de poções -3 poções]
Se "A" for 100 pontos maior que "B" → Cria o número de poções = [Máx. de poções -4 poções]
Se "A" for 1 ponto maior que "B" → Cria o número de poções = [Máx. de poções -5 poções]
Se "A" for menor que "B" → Cria o número de poções = [Máx. de poções -6 poções]</t>
  </si>
  <si>
    <t>Custo /12</t>
  </si>
  <si>
    <t>Custo /9</t>
  </si>
  <si>
    <t>Custo /8</t>
  </si>
  <si>
    <t>Custo /6</t>
  </si>
  <si>
    <t>Energético Mágico</t>
  </si>
  <si>
    <t>Esporo de Cogumelo Explosivo</t>
  </si>
  <si>
    <t>Média Preparada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</si>
</sst>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&quot;R$&quot;\ * #,##0_-;\-&quot;R$&quot;\ * #,##0.00_-;_-&quot;R$&quot;\ * &quot;-&quot;??_-;_-@_-"/>
    <numFmt numFmtId="165" formatCode="_*\ #,##0_-\Z;\-&quot;R$&quot;\ * #,##0.00_-;_-&quot;R$&quot;\ * &quot;-&quot;??_-;_-@_-"/>
    <numFmt numFmtId="166" formatCode="0.0%"/>
  </numFmts>
  <fonts count="5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22">
    <xf numFmtId="0" fontId="0" fillId="0" borderId="0" xfId="0"/>
    <xf numFmtId="0" fontId="1" fillId="2" borderId="0" xfId="0" applyFont="1" applyFill="1"/>
    <xf numFmtId="0" fontId="0" fillId="3" borderId="0" xfId="0" applyFill="1"/>
    <xf numFmtId="0" fontId="2" fillId="0" borderId="1" xfId="0" applyFont="1" applyBorder="1"/>
    <xf numFmtId="0" fontId="0" fillId="3" borderId="1" xfId="0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2" fillId="3" borderId="0" xfId="0" applyFont="1" applyFill="1"/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164" fontId="0" fillId="3" borderId="0" xfId="0" applyNumberFormat="1" applyFill="1"/>
    <xf numFmtId="165" fontId="2" fillId="0" borderId="2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6" fontId="2" fillId="0" borderId="2" xfId="1" applyNumberFormat="1" applyFont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166" fontId="2" fillId="5" borderId="2" xfId="1" applyNumberFormat="1" applyFont="1" applyFill="1" applyBorder="1" applyAlignment="1">
      <alignment horizontal="center"/>
    </xf>
    <xf numFmtId="2" fontId="2" fillId="0" borderId="2" xfId="0" applyNumberFormat="1" applyFont="1" applyBorder="1" applyAlignment="1">
      <alignment horizontal="center"/>
    </xf>
    <xf numFmtId="2" fontId="2" fillId="5" borderId="2" xfId="0" applyNumberFormat="1" applyFont="1" applyFill="1" applyBorder="1" applyAlignment="1">
      <alignment horizontal="center"/>
    </xf>
    <xf numFmtId="165" fontId="2" fillId="5" borderId="2" xfId="0" applyNumberFormat="1" applyFont="1" applyFill="1" applyBorder="1" applyAlignment="1">
      <alignment horizontal="center" vertical="center"/>
    </xf>
    <xf numFmtId="0" fontId="0" fillId="3" borderId="0" xfId="0" applyFill="1" applyAlignment="1">
      <alignment horizontal="left" vertical="center" wrapText="1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Distribuição Fórmula A 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Distribuição Fórmula A </a:t>
          </a:r>
        </a:p>
      </cx:txPr>
    </cx:title>
    <cx:plotArea>
      <cx:plotAreaRegion>
        <cx:series layoutId="clusteredColumn" uniqueId="{377F3648-8B68-49BC-9BBF-3689F6B4959C}">
          <cx:dataId val="0"/>
          <cx:layoutPr>
            <cx:binning intervalClosed="r">
              <cx:binSize val="15"/>
            </cx:binning>
          </cx:layoutPr>
        </cx:series>
      </cx:plotAreaRegion>
      <cx:axis id="0">
        <cx:catScaling gapWidth="0"/>
        <cx:tickLabels/>
      </cx:axis>
      <cx:axis id="1" hidden="1">
        <cx:valScaling/>
        <cx:tickLabels/>
      </cx:axis>
    </cx:plotArea>
  </cx:chart>
  <cx:spPr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499836</xdr:colOff>
      <xdr:row>6</xdr:row>
      <xdr:rowOff>157389</xdr:rowOff>
    </xdr:from>
    <xdr:to>
      <xdr:col>19</xdr:col>
      <xdr:colOff>444499</xdr:colOff>
      <xdr:row>18</xdr:row>
      <xdr:rowOff>179162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D96ADB3B-5E1F-41A3-BD46-BAAF8A9DA46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615636" y="1303564"/>
              <a:ext cx="5161188" cy="230777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DA6AB7-DB95-48B1-A350-192285CD1A2C}">
  <sheetPr codeName="Sheet1"/>
  <dimension ref="A1:V27"/>
  <sheetViews>
    <sheetView tabSelected="1" zoomScale="70" zoomScaleNormal="70" workbookViewId="0">
      <selection activeCell="B6" sqref="B6"/>
    </sheetView>
  </sheetViews>
  <sheetFormatPr defaultRowHeight="15" x14ac:dyDescent="0.25"/>
  <cols>
    <col min="1" max="1" width="24.85546875" style="2" bestFit="1" customWidth="1"/>
    <col min="2" max="3" width="9.140625" style="2"/>
    <col min="4" max="4" width="8.140625" style="2" bestFit="1" customWidth="1"/>
    <col min="5" max="5" width="13.140625" style="2" bestFit="1" customWidth="1"/>
    <col min="6" max="6" width="10.140625" style="2" customWidth="1"/>
    <col min="7" max="7" width="40.28515625" style="2" bestFit="1" customWidth="1"/>
    <col min="8" max="8" width="9.140625" style="2"/>
    <col min="9" max="9" width="6.140625" style="2" bestFit="1" customWidth="1"/>
    <col min="10" max="10" width="6.28515625" style="2" bestFit="1" customWidth="1"/>
    <col min="11" max="11" width="7.140625" style="2" bestFit="1" customWidth="1"/>
    <col min="12" max="13" width="6.28515625" style="2" bestFit="1" customWidth="1"/>
    <col min="14" max="14" width="16.28515625" style="2" bestFit="1" customWidth="1"/>
    <col min="15" max="15" width="9.140625" style="2"/>
    <col min="16" max="16" width="25.42578125" style="2" bestFit="1" customWidth="1"/>
    <col min="17" max="17" width="15.7109375" style="2" bestFit="1" customWidth="1"/>
    <col min="18" max="18" width="27.85546875" style="2" bestFit="1" customWidth="1"/>
    <col min="19" max="19" width="9.140625" style="2" bestFit="1" customWidth="1"/>
    <col min="20" max="20" width="8.7109375" style="2" bestFit="1" customWidth="1"/>
    <col min="21" max="21" width="9.7109375" style="2" customWidth="1"/>
    <col min="22" max="22" width="9.7109375" style="2" bestFit="1" customWidth="1"/>
    <col min="23" max="16384" width="9.140625" style="2"/>
  </cols>
  <sheetData>
    <row r="1" spans="1:22" x14ac:dyDescent="0.25">
      <c r="A1" s="1" t="s">
        <v>0</v>
      </c>
      <c r="B1"/>
      <c r="D1" s="5" t="s">
        <v>23</v>
      </c>
      <c r="E1" s="5" t="s">
        <v>25</v>
      </c>
      <c r="G1" s="7" t="s">
        <v>12</v>
      </c>
      <c r="H1" s="8" t="s">
        <v>13</v>
      </c>
      <c r="I1" s="7" t="s">
        <v>37</v>
      </c>
      <c r="J1" s="7" t="s">
        <v>38</v>
      </c>
      <c r="K1" s="7" t="s">
        <v>39</v>
      </c>
      <c r="L1" s="7" t="s">
        <v>40</v>
      </c>
      <c r="M1" s="7" t="s">
        <v>41</v>
      </c>
      <c r="N1" s="7" t="s">
        <v>57</v>
      </c>
      <c r="P1" s="7" t="s">
        <v>12</v>
      </c>
      <c r="Q1" s="8" t="s">
        <v>35</v>
      </c>
      <c r="R1" s="8" t="s">
        <v>36</v>
      </c>
      <c r="S1" s="8" t="s">
        <v>51</v>
      </c>
      <c r="T1" s="8" t="s">
        <v>52</v>
      </c>
      <c r="U1" s="8" t="s">
        <v>53</v>
      </c>
      <c r="V1" s="8" t="s">
        <v>54</v>
      </c>
    </row>
    <row r="2" spans="1:22" x14ac:dyDescent="0.25">
      <c r="A2" s="3" t="s">
        <v>30</v>
      </c>
      <c r="B2" s="10">
        <v>120</v>
      </c>
      <c r="D2" s="4">
        <f>_xlfn.XLOOKUP(B9, LEVEL, FATOR, "")</f>
        <v>420</v>
      </c>
      <c r="E2" s="4">
        <f>_xlfn.XLOOKUP(B9, LEVEL, NPOCAO, "")</f>
        <v>12</v>
      </c>
      <c r="G2" s="6" t="s">
        <v>3</v>
      </c>
      <c r="H2" s="6">
        <v>10</v>
      </c>
      <c r="I2" s="15">
        <f>HLOOKUP($H2+$D$2,FarmacologiaAvancadaCalculo!$P$1:$W$6,2,TRUE)</f>
        <v>0</v>
      </c>
      <c r="J2" s="15">
        <f>HLOOKUP($H2+$D$2,FarmacologiaAvancadaCalculo!$P$1:$W$6,3,TRUE)</f>
        <v>0.12396694214876033</v>
      </c>
      <c r="K2" s="15">
        <f>HLOOKUP($H2+$D$2,FarmacologiaAvancadaCalculo!$P$1:$W$6,4,TRUE)</f>
        <v>0.87603305785123964</v>
      </c>
      <c r="L2" s="15">
        <f>HLOOKUP($H2+$D$2,FarmacologiaAvancadaCalculo!$P$1:$W$6,5,TRUE)</f>
        <v>0</v>
      </c>
      <c r="M2" s="15">
        <f>HLOOKUP($H2+$D$2,FarmacologiaAvancadaCalculo!$P$1:$W$6,6,TRUE)</f>
        <v>0</v>
      </c>
      <c r="N2" s="18">
        <f>($E$2*I2)+($E$2-3)*J2+($E$2-4)*K2+($E$2-5)*L2+($E$2-6)*M2</f>
        <v>8.1239669421487601</v>
      </c>
      <c r="P2" s="6" t="s">
        <v>7</v>
      </c>
      <c r="Q2" s="13">
        <f>(4000+35+12000)</f>
        <v>16035</v>
      </c>
      <c r="R2" s="13">
        <f>(3040+25+9120)</f>
        <v>12185</v>
      </c>
      <c r="S2" s="13">
        <f>R2/12</f>
        <v>1015.4166666666666</v>
      </c>
      <c r="T2" s="13">
        <f>R2/9</f>
        <v>1353.8888888888889</v>
      </c>
      <c r="U2" s="13">
        <f>R2/8</f>
        <v>1523.125</v>
      </c>
      <c r="V2" s="13">
        <f>R2/6</f>
        <v>2030.8333333333333</v>
      </c>
    </row>
    <row r="3" spans="1:22" x14ac:dyDescent="0.25">
      <c r="A3" s="3" t="s">
        <v>31</v>
      </c>
      <c r="B3" s="10">
        <v>150</v>
      </c>
      <c r="G3" s="16" t="s">
        <v>4</v>
      </c>
      <c r="H3" s="16">
        <v>20</v>
      </c>
      <c r="I3" s="17">
        <f>HLOOKUP($H3+$D$2,FarmacologiaAvancadaCalculo!$P$1:$W$6,2,TRUE)</f>
        <v>0</v>
      </c>
      <c r="J3" s="17">
        <f>HLOOKUP($H3+$D$2,FarmacologiaAvancadaCalculo!$P$1:$W$6,3,TRUE)</f>
        <v>5.9031877213695398E-2</v>
      </c>
      <c r="K3" s="17">
        <f>HLOOKUP($H3+$D$2,FarmacologiaAvancadaCalculo!$P$1:$W$6,4,TRUE)</f>
        <v>0.94096812278630459</v>
      </c>
      <c r="L3" s="17">
        <f>HLOOKUP($H3+$D$2,FarmacologiaAvancadaCalculo!$P$1:$W$6,5,TRUE)</f>
        <v>0</v>
      </c>
      <c r="M3" s="17">
        <f>HLOOKUP($H3+$D$2,FarmacologiaAvancadaCalculo!$P$1:$W$6,6,TRUE)</f>
        <v>0</v>
      </c>
      <c r="N3" s="19">
        <f t="shared" ref="N3:N20" si="0">($E$2*I3)+($E$2-3)*J3+($E$2-4)*K3+($E$2-5)*L3+($E$2-6)*M3</f>
        <v>8.0590318772136946</v>
      </c>
      <c r="P3" s="16" t="s">
        <v>8</v>
      </c>
      <c r="Q3" s="20">
        <f>(4000+35+105000)</f>
        <v>109035</v>
      </c>
      <c r="R3" s="20">
        <f>(3040+25+79800)</f>
        <v>82865</v>
      </c>
      <c r="S3" s="20">
        <f t="shared" ref="S3:S5" si="1">R3/12</f>
        <v>6905.416666666667</v>
      </c>
      <c r="T3" s="20">
        <f t="shared" ref="T3:T4" si="2">R3/9</f>
        <v>9207.2222222222226</v>
      </c>
      <c r="U3" s="20">
        <f t="shared" ref="U3:U4" si="3">R3/8</f>
        <v>10358.125</v>
      </c>
      <c r="V3" s="20">
        <f t="shared" ref="V3:V4" si="4">R3/6</f>
        <v>13810.833333333334</v>
      </c>
    </row>
    <row r="4" spans="1:22" x14ac:dyDescent="0.25">
      <c r="A4" s="3" t="s">
        <v>32</v>
      </c>
      <c r="B4" s="10">
        <v>230</v>
      </c>
      <c r="G4" s="6" t="s">
        <v>5</v>
      </c>
      <c r="H4" s="6">
        <v>30</v>
      </c>
      <c r="I4" s="15">
        <f>HLOOKUP($H4+$D$2,FarmacologiaAvancadaCalculo!$P$1:$W$6,2,TRUE)</f>
        <v>0</v>
      </c>
      <c r="J4" s="15">
        <f>HLOOKUP($H4+$D$2,FarmacologiaAvancadaCalculo!$P$1:$W$6,3,TRUE)</f>
        <v>1.770956316410862E-2</v>
      </c>
      <c r="K4" s="15">
        <f>HLOOKUP($H4+$D$2,FarmacologiaAvancadaCalculo!$P$1:$W$6,4,TRUE)</f>
        <v>0.98229043683589135</v>
      </c>
      <c r="L4" s="15">
        <f>HLOOKUP($H4+$D$2,FarmacologiaAvancadaCalculo!$P$1:$W$6,5,TRUE)</f>
        <v>0</v>
      </c>
      <c r="M4" s="15">
        <f>HLOOKUP($H4+$D$2,FarmacologiaAvancadaCalculo!$P$1:$W$6,6,TRUE)</f>
        <v>0</v>
      </c>
      <c r="N4" s="18">
        <f t="shared" si="0"/>
        <v>8.0177095631641091</v>
      </c>
      <c r="P4" s="6" t="s">
        <v>9</v>
      </c>
      <c r="Q4" s="13">
        <f>(4000+35+15000+12000)</f>
        <v>31035</v>
      </c>
      <c r="R4" s="13">
        <f>(3040+25+11400+9120)</f>
        <v>23585</v>
      </c>
      <c r="S4" s="13">
        <f t="shared" si="1"/>
        <v>1965.4166666666667</v>
      </c>
      <c r="T4" s="13">
        <f t="shared" si="2"/>
        <v>2620.5555555555557</v>
      </c>
      <c r="U4" s="13">
        <f t="shared" si="3"/>
        <v>2948.125</v>
      </c>
      <c r="V4" s="13">
        <f t="shared" si="4"/>
        <v>3930.8333333333335</v>
      </c>
    </row>
    <row r="5" spans="1:22" x14ac:dyDescent="0.25">
      <c r="A5" s="3" t="s">
        <v>33</v>
      </c>
      <c r="B5" s="10">
        <v>141</v>
      </c>
      <c r="G5" s="16" t="s">
        <v>6</v>
      </c>
      <c r="H5" s="16">
        <v>40</v>
      </c>
      <c r="I5" s="17">
        <f>HLOOKUP($H5+$D$2,FarmacologiaAvancadaCalculo!$P$1:$W$6,2,TRUE)</f>
        <v>0</v>
      </c>
      <c r="J5" s="17">
        <f>HLOOKUP($H5+$D$2,FarmacologiaAvancadaCalculo!$P$1:$W$6,3,TRUE)</f>
        <v>0</v>
      </c>
      <c r="K5" s="17">
        <f>HLOOKUP($H5+$D$2,FarmacologiaAvancadaCalculo!$P$1:$W$6,4,TRUE)</f>
        <v>1</v>
      </c>
      <c r="L5" s="17">
        <f>HLOOKUP($H5+$D$2,FarmacologiaAvancadaCalculo!$P$1:$W$6,5,TRUE)</f>
        <v>0</v>
      </c>
      <c r="M5" s="17">
        <f>HLOOKUP($H5+$D$2,FarmacologiaAvancadaCalculo!$P$1:$W$6,6,TRUE)</f>
        <v>0</v>
      </c>
      <c r="N5" s="19">
        <f t="shared" si="0"/>
        <v>8</v>
      </c>
      <c r="P5" s="16" t="s">
        <v>5</v>
      </c>
      <c r="Q5" s="20">
        <f>(20+2625+11000+6000)</f>
        <v>19645</v>
      </c>
      <c r="R5" s="20">
        <f>(10+1995+8360+4560)</f>
        <v>14925</v>
      </c>
      <c r="S5" s="20">
        <f t="shared" si="1"/>
        <v>1243.75</v>
      </c>
      <c r="T5" s="20">
        <f t="shared" ref="T5" si="5">R5/9</f>
        <v>1658.3333333333333</v>
      </c>
      <c r="U5" s="20">
        <f t="shared" ref="U5" si="6">R5/8</f>
        <v>1865.625</v>
      </c>
      <c r="V5" s="20">
        <f t="shared" ref="V5" si="7">R5/6</f>
        <v>2487.5</v>
      </c>
    </row>
    <row r="6" spans="1:22" x14ac:dyDescent="0.25">
      <c r="A6" s="3" t="s">
        <v>34</v>
      </c>
      <c r="B6" s="10">
        <v>43</v>
      </c>
      <c r="G6" s="6" t="s">
        <v>7</v>
      </c>
      <c r="H6" s="6">
        <v>80</v>
      </c>
      <c r="I6" s="15">
        <f>HLOOKUP($H6+$D$2,FarmacologiaAvancadaCalculo!$P$1:$W$6,2,TRUE)</f>
        <v>0</v>
      </c>
      <c r="J6" s="15">
        <f>HLOOKUP($H6+$D$2,FarmacologiaAvancadaCalculo!$P$1:$W$6,3,TRUE)</f>
        <v>0</v>
      </c>
      <c r="K6" s="15">
        <f>HLOOKUP($H6+$D$2,FarmacologiaAvancadaCalculo!$P$1:$W$6,4,TRUE)</f>
        <v>1</v>
      </c>
      <c r="L6" s="15">
        <f>HLOOKUP($H6+$D$2,FarmacologiaAvancadaCalculo!$P$1:$W$6,5,TRUE)</f>
        <v>0</v>
      </c>
      <c r="M6" s="15">
        <f>HLOOKUP($H6+$D$2,FarmacologiaAvancadaCalculo!$P$1:$W$6,6,TRUE)</f>
        <v>0</v>
      </c>
      <c r="N6" s="18">
        <f t="shared" si="0"/>
        <v>8</v>
      </c>
    </row>
    <row r="7" spans="1:22" x14ac:dyDescent="0.25">
      <c r="A7" s="3" t="s">
        <v>1</v>
      </c>
      <c r="B7" s="10">
        <v>10</v>
      </c>
      <c r="G7" s="16" t="s">
        <v>8</v>
      </c>
      <c r="H7" s="16">
        <v>160</v>
      </c>
      <c r="I7" s="17">
        <f>HLOOKUP($H7+$D$2,FarmacologiaAvancadaCalculo!$P$1:$W$6,2,TRUE)</f>
        <v>0</v>
      </c>
      <c r="J7" s="17">
        <f>HLOOKUP($H7+$D$2,FarmacologiaAvancadaCalculo!$P$1:$W$6,3,TRUE)</f>
        <v>0</v>
      </c>
      <c r="K7" s="17">
        <f>HLOOKUP($H7+$D$2,FarmacologiaAvancadaCalculo!$P$1:$W$6,4,TRUE)</f>
        <v>0.53719008264462809</v>
      </c>
      <c r="L7" s="17">
        <f>HLOOKUP($H7+$D$2,FarmacologiaAvancadaCalculo!$P$1:$W$6,5,TRUE)</f>
        <v>0.46280991735537191</v>
      </c>
      <c r="M7" s="17">
        <f>HLOOKUP($H7+$D$2,FarmacologiaAvancadaCalculo!$P$1:$W$6,6,TRUE)</f>
        <v>0</v>
      </c>
      <c r="N7" s="19">
        <f t="shared" si="0"/>
        <v>7.5371900826446279</v>
      </c>
    </row>
    <row r="8" spans="1:22" x14ac:dyDescent="0.25">
      <c r="A8" s="3" t="s">
        <v>2</v>
      </c>
      <c r="B8" s="10">
        <v>5</v>
      </c>
      <c r="G8" s="6" t="s">
        <v>9</v>
      </c>
      <c r="H8" s="6">
        <v>160</v>
      </c>
      <c r="I8" s="15">
        <f>HLOOKUP($H8+$D$2,FarmacologiaAvancadaCalculo!$P$1:$W$6,2,TRUE)</f>
        <v>0</v>
      </c>
      <c r="J8" s="15">
        <f>HLOOKUP($H8+$D$2,FarmacologiaAvancadaCalculo!$P$1:$W$6,3,TRUE)</f>
        <v>0</v>
      </c>
      <c r="K8" s="15">
        <f>HLOOKUP($H8+$D$2,FarmacologiaAvancadaCalculo!$P$1:$W$6,4,TRUE)</f>
        <v>0.53719008264462809</v>
      </c>
      <c r="L8" s="15">
        <f>HLOOKUP($H8+$D$2,FarmacologiaAvancadaCalculo!$P$1:$W$6,5,TRUE)</f>
        <v>0.46280991735537191</v>
      </c>
      <c r="M8" s="15">
        <f>HLOOKUP($H8+$D$2,FarmacologiaAvancadaCalculo!$P$1:$W$6,6,TRUE)</f>
        <v>0</v>
      </c>
      <c r="N8" s="18">
        <f t="shared" si="0"/>
        <v>7.5371900826446279</v>
      </c>
    </row>
    <row r="9" spans="1:22" x14ac:dyDescent="0.25">
      <c r="A9" s="3" t="s">
        <v>24</v>
      </c>
      <c r="B9" s="11">
        <v>10</v>
      </c>
      <c r="C9" s="9" t="s">
        <v>27</v>
      </c>
      <c r="G9" s="16" t="s">
        <v>10</v>
      </c>
      <c r="H9" s="16">
        <v>160</v>
      </c>
      <c r="I9" s="17">
        <f>HLOOKUP($H9+$D$2,FarmacologiaAvancadaCalculo!$P$1:$W$6,2,TRUE)</f>
        <v>0</v>
      </c>
      <c r="J9" s="17">
        <f>HLOOKUP($H9+$D$2,FarmacologiaAvancadaCalculo!$P$1:$W$6,3,TRUE)</f>
        <v>0</v>
      </c>
      <c r="K9" s="17">
        <f>HLOOKUP($H9+$D$2,FarmacologiaAvancadaCalculo!$P$1:$W$6,4,TRUE)</f>
        <v>0.53719008264462809</v>
      </c>
      <c r="L9" s="17">
        <f>HLOOKUP($H9+$D$2,FarmacologiaAvancadaCalculo!$P$1:$W$6,5,TRUE)</f>
        <v>0.46280991735537191</v>
      </c>
      <c r="M9" s="17">
        <f>HLOOKUP($H9+$D$2,FarmacologiaAvancadaCalculo!$P$1:$W$6,6,TRUE)</f>
        <v>0</v>
      </c>
      <c r="N9" s="19">
        <f t="shared" si="0"/>
        <v>7.5371900826446279</v>
      </c>
    </row>
    <row r="10" spans="1:22" x14ac:dyDescent="0.25">
      <c r="G10" s="6" t="s">
        <v>11</v>
      </c>
      <c r="H10" s="6">
        <v>120</v>
      </c>
      <c r="I10" s="15">
        <f>HLOOKUP($H10+$D$2,FarmacologiaAvancadaCalculo!$P$1:$W$6,2,TRUE)</f>
        <v>0</v>
      </c>
      <c r="J10" s="15">
        <f>HLOOKUP($H10+$D$2,FarmacologiaAvancadaCalculo!$P$1:$W$6,3,TRUE)</f>
        <v>0</v>
      </c>
      <c r="K10" s="15">
        <f>HLOOKUP($H10+$D$2,FarmacologiaAvancadaCalculo!$P$1:$W$6,4,TRUE)</f>
        <v>0.86776859504132231</v>
      </c>
      <c r="L10" s="15">
        <f>HLOOKUP($H10+$D$2,FarmacologiaAvancadaCalculo!$P$1:$W$6,5,TRUE)</f>
        <v>0.13223140495867769</v>
      </c>
      <c r="M10" s="15">
        <f>HLOOKUP($H10+$D$2,FarmacologiaAvancadaCalculo!$P$1:$W$6,6,TRUE)</f>
        <v>0</v>
      </c>
      <c r="N10" s="18">
        <f t="shared" si="0"/>
        <v>7.8677685950413228</v>
      </c>
    </row>
    <row r="11" spans="1:22" x14ac:dyDescent="0.25">
      <c r="G11" s="16" t="s">
        <v>55</v>
      </c>
      <c r="H11" s="16">
        <v>120</v>
      </c>
      <c r="I11" s="17">
        <f>HLOOKUP($H11+$D$2,FarmacologiaAvancadaCalculo!$P$1:$W$6,2,TRUE)</f>
        <v>0</v>
      </c>
      <c r="J11" s="17">
        <f>HLOOKUP($H11+$D$2,FarmacologiaAvancadaCalculo!$P$1:$W$6,3,TRUE)</f>
        <v>0</v>
      </c>
      <c r="K11" s="17">
        <f>HLOOKUP($H11+$D$2,FarmacologiaAvancadaCalculo!$P$1:$W$6,4,TRUE)</f>
        <v>0.86776859504132231</v>
      </c>
      <c r="L11" s="17">
        <f>HLOOKUP($H11+$D$2,FarmacologiaAvancadaCalculo!$P$1:$W$6,5,TRUE)</f>
        <v>0.13223140495867769</v>
      </c>
      <c r="M11" s="17">
        <f>HLOOKUP($H11+$D$2,FarmacologiaAvancadaCalculo!$P$1:$W$6,6,TRUE)</f>
        <v>0</v>
      </c>
      <c r="N11" s="19">
        <f t="shared" si="0"/>
        <v>7.8677685950413228</v>
      </c>
      <c r="P11" s="12"/>
    </row>
    <row r="12" spans="1:22" x14ac:dyDescent="0.25">
      <c r="G12" s="6" t="s">
        <v>14</v>
      </c>
      <c r="H12" s="6">
        <v>30</v>
      </c>
      <c r="I12" s="15">
        <f>HLOOKUP($H12+$D$2,FarmacologiaAvancadaCalculo!$P$1:$W$6,2,TRUE)</f>
        <v>0</v>
      </c>
      <c r="J12" s="15">
        <f>HLOOKUP($H12+$D$2,FarmacologiaAvancadaCalculo!$P$1:$W$6,3,TRUE)</f>
        <v>1.770956316410862E-2</v>
      </c>
      <c r="K12" s="15">
        <f>HLOOKUP($H12+$D$2,FarmacologiaAvancadaCalculo!$P$1:$W$6,4,TRUE)</f>
        <v>0.98229043683589135</v>
      </c>
      <c r="L12" s="15">
        <f>HLOOKUP($H12+$D$2,FarmacologiaAvancadaCalculo!$P$1:$W$6,5,TRUE)</f>
        <v>0</v>
      </c>
      <c r="M12" s="15">
        <f>HLOOKUP($H12+$D$2,FarmacologiaAvancadaCalculo!$P$1:$W$6,6,TRUE)</f>
        <v>0</v>
      </c>
      <c r="N12" s="18">
        <f t="shared" si="0"/>
        <v>8.0177095631641091</v>
      </c>
    </row>
    <row r="13" spans="1:22" x14ac:dyDescent="0.25">
      <c r="G13" s="16" t="s">
        <v>15</v>
      </c>
      <c r="H13" s="16">
        <v>30</v>
      </c>
      <c r="I13" s="17">
        <f>HLOOKUP($H13+$D$2,FarmacologiaAvancadaCalculo!$P$1:$W$6,2,TRUE)</f>
        <v>0</v>
      </c>
      <c r="J13" s="17">
        <f>HLOOKUP($H13+$D$2,FarmacologiaAvancadaCalculo!$P$1:$W$6,3,TRUE)</f>
        <v>1.770956316410862E-2</v>
      </c>
      <c r="K13" s="17">
        <f>HLOOKUP($H13+$D$2,FarmacologiaAvancadaCalculo!$P$1:$W$6,4,TRUE)</f>
        <v>0.98229043683589135</v>
      </c>
      <c r="L13" s="17">
        <f>HLOOKUP($H13+$D$2,FarmacologiaAvancadaCalculo!$P$1:$W$6,5,TRUE)</f>
        <v>0</v>
      </c>
      <c r="M13" s="17">
        <f>HLOOKUP($H13+$D$2,FarmacologiaAvancadaCalculo!$P$1:$W$6,6,TRUE)</f>
        <v>0</v>
      </c>
      <c r="N13" s="19">
        <f t="shared" si="0"/>
        <v>8.0177095631641091</v>
      </c>
    </row>
    <row r="14" spans="1:22" x14ac:dyDescent="0.25">
      <c r="G14" s="6" t="s">
        <v>56</v>
      </c>
      <c r="H14" s="6">
        <v>15</v>
      </c>
      <c r="I14" s="15">
        <f>HLOOKUP($H14+$D$2,FarmacologiaAvancadaCalculo!$P$1:$W$6,2,TRUE)</f>
        <v>0</v>
      </c>
      <c r="J14" s="15">
        <f>HLOOKUP($H14+$D$2,FarmacologiaAvancadaCalculo!$P$1:$W$6,3,TRUE)</f>
        <v>8.8547815820543094E-2</v>
      </c>
      <c r="K14" s="15">
        <f>HLOOKUP($H14+$D$2,FarmacologiaAvancadaCalculo!$P$1:$W$6,4,TRUE)</f>
        <v>0.91145218417945695</v>
      </c>
      <c r="L14" s="15">
        <f>HLOOKUP($H14+$D$2,FarmacologiaAvancadaCalculo!$P$1:$W$6,5,TRUE)</f>
        <v>0</v>
      </c>
      <c r="M14" s="15">
        <f>HLOOKUP($H14+$D$2,FarmacologiaAvancadaCalculo!$P$1:$W$6,6,TRUE)</f>
        <v>0</v>
      </c>
      <c r="N14" s="18">
        <f t="shared" si="0"/>
        <v>8.0885478158205437</v>
      </c>
    </row>
    <row r="15" spans="1:22" x14ac:dyDescent="0.25">
      <c r="G15" s="16" t="s">
        <v>16</v>
      </c>
      <c r="H15" s="16">
        <v>10</v>
      </c>
      <c r="I15" s="17">
        <f>HLOOKUP($H15+$D$2,FarmacologiaAvancadaCalculo!$P$1:$W$6,2,TRUE)</f>
        <v>0</v>
      </c>
      <c r="J15" s="17">
        <f>HLOOKUP($H15+$D$2,FarmacologiaAvancadaCalculo!$P$1:$W$6,3,TRUE)</f>
        <v>0.12396694214876033</v>
      </c>
      <c r="K15" s="17">
        <f>HLOOKUP($H15+$D$2,FarmacologiaAvancadaCalculo!$P$1:$W$6,4,TRUE)</f>
        <v>0.87603305785123964</v>
      </c>
      <c r="L15" s="17">
        <f>HLOOKUP($H15+$D$2,FarmacologiaAvancadaCalculo!$P$1:$W$6,5,TRUE)</f>
        <v>0</v>
      </c>
      <c r="M15" s="17">
        <f>HLOOKUP($H15+$D$2,FarmacologiaAvancadaCalculo!$P$1:$W$6,6,TRUE)</f>
        <v>0</v>
      </c>
      <c r="N15" s="19">
        <f t="shared" si="0"/>
        <v>8.1239669421487601</v>
      </c>
    </row>
    <row r="16" spans="1:22" x14ac:dyDescent="0.25">
      <c r="G16" s="6" t="s">
        <v>17</v>
      </c>
      <c r="H16" s="6">
        <v>20</v>
      </c>
      <c r="I16" s="15">
        <f>HLOOKUP($H16+$D$2,FarmacologiaAvancadaCalculo!$P$1:$W$6,2,TRUE)</f>
        <v>0</v>
      </c>
      <c r="J16" s="15">
        <f>HLOOKUP($H16+$D$2,FarmacologiaAvancadaCalculo!$P$1:$W$6,3,TRUE)</f>
        <v>5.9031877213695398E-2</v>
      </c>
      <c r="K16" s="15">
        <f>HLOOKUP($H16+$D$2,FarmacologiaAvancadaCalculo!$P$1:$W$6,4,TRUE)</f>
        <v>0.94096812278630459</v>
      </c>
      <c r="L16" s="15">
        <f>HLOOKUP($H16+$D$2,FarmacologiaAvancadaCalculo!$P$1:$W$6,5,TRUE)</f>
        <v>0</v>
      </c>
      <c r="M16" s="15">
        <f>HLOOKUP($H16+$D$2,FarmacologiaAvancadaCalculo!$P$1:$W$6,6,TRUE)</f>
        <v>0</v>
      </c>
      <c r="N16" s="18">
        <f t="shared" si="0"/>
        <v>8.0590318772136946</v>
      </c>
    </row>
    <row r="17" spans="1:14" x14ac:dyDescent="0.25">
      <c r="G17" s="16" t="s">
        <v>18</v>
      </c>
      <c r="H17" s="16">
        <v>40</v>
      </c>
      <c r="I17" s="17">
        <f>HLOOKUP($H17+$D$2,FarmacologiaAvancadaCalculo!$P$1:$W$6,2,TRUE)</f>
        <v>0</v>
      </c>
      <c r="J17" s="17">
        <f>HLOOKUP($H17+$D$2,FarmacologiaAvancadaCalculo!$P$1:$W$6,3,TRUE)</f>
        <v>0</v>
      </c>
      <c r="K17" s="17">
        <f>HLOOKUP($H17+$D$2,FarmacologiaAvancadaCalculo!$P$1:$W$6,4,TRUE)</f>
        <v>1</v>
      </c>
      <c r="L17" s="17">
        <f>HLOOKUP($H17+$D$2,FarmacologiaAvancadaCalculo!$P$1:$W$6,5,TRUE)</f>
        <v>0</v>
      </c>
      <c r="M17" s="17">
        <f>HLOOKUP($H17+$D$2,FarmacologiaAvancadaCalculo!$P$1:$W$6,6,TRUE)</f>
        <v>0</v>
      </c>
      <c r="N17" s="19">
        <f t="shared" si="0"/>
        <v>8</v>
      </c>
    </row>
    <row r="18" spans="1:14" x14ac:dyDescent="0.25">
      <c r="G18" s="6" t="s">
        <v>19</v>
      </c>
      <c r="H18" s="6">
        <v>10</v>
      </c>
      <c r="I18" s="15">
        <f>HLOOKUP($H18+$D$2,FarmacologiaAvancadaCalculo!$P$1:$W$6,2,TRUE)</f>
        <v>0</v>
      </c>
      <c r="J18" s="15">
        <f>HLOOKUP($H18+$D$2,FarmacologiaAvancadaCalculo!$P$1:$W$6,3,TRUE)</f>
        <v>0.12396694214876033</v>
      </c>
      <c r="K18" s="15">
        <f>HLOOKUP($H18+$D$2,FarmacologiaAvancadaCalculo!$P$1:$W$6,4,TRUE)</f>
        <v>0.87603305785123964</v>
      </c>
      <c r="L18" s="15">
        <f>HLOOKUP($H18+$D$2,FarmacologiaAvancadaCalculo!$P$1:$W$6,5,TRUE)</f>
        <v>0</v>
      </c>
      <c r="M18" s="15">
        <f>HLOOKUP($H18+$D$2,FarmacologiaAvancadaCalculo!$P$1:$W$6,6,TRUE)</f>
        <v>0</v>
      </c>
      <c r="N18" s="18">
        <f t="shared" si="0"/>
        <v>8.1239669421487601</v>
      </c>
    </row>
    <row r="19" spans="1:14" x14ac:dyDescent="0.25">
      <c r="G19" s="16" t="s">
        <v>20</v>
      </c>
      <c r="H19" s="16">
        <v>15</v>
      </c>
      <c r="I19" s="17">
        <f>HLOOKUP($H19+$D$2,FarmacologiaAvancadaCalculo!$P$1:$W$6,2,TRUE)</f>
        <v>0</v>
      </c>
      <c r="J19" s="17">
        <f>HLOOKUP($H19+$D$2,FarmacologiaAvancadaCalculo!$P$1:$W$6,3,TRUE)</f>
        <v>8.8547815820543094E-2</v>
      </c>
      <c r="K19" s="17">
        <f>HLOOKUP($H19+$D$2,FarmacologiaAvancadaCalculo!$P$1:$W$6,4,TRUE)</f>
        <v>0.91145218417945695</v>
      </c>
      <c r="L19" s="17">
        <f>HLOOKUP($H19+$D$2,FarmacologiaAvancadaCalculo!$P$1:$W$6,5,TRUE)</f>
        <v>0</v>
      </c>
      <c r="M19" s="17">
        <f>HLOOKUP($H19+$D$2,FarmacologiaAvancadaCalculo!$P$1:$W$6,6,TRUE)</f>
        <v>0</v>
      </c>
      <c r="N19" s="19">
        <f t="shared" si="0"/>
        <v>8.0885478158205437</v>
      </c>
    </row>
    <row r="20" spans="1:14" x14ac:dyDescent="0.25">
      <c r="G20" s="6" t="s">
        <v>21</v>
      </c>
      <c r="H20" s="6">
        <v>20</v>
      </c>
      <c r="I20" s="15">
        <f>HLOOKUP($H20+$D$2,FarmacologiaAvancadaCalculo!$P$1:$W$6,2,TRUE)</f>
        <v>0</v>
      </c>
      <c r="J20" s="15">
        <f>HLOOKUP($H20+$D$2,FarmacologiaAvancadaCalculo!$P$1:$W$6,3,TRUE)</f>
        <v>5.9031877213695398E-2</v>
      </c>
      <c r="K20" s="15">
        <f>HLOOKUP($H20+$D$2,FarmacologiaAvancadaCalculo!$P$1:$W$6,4,TRUE)</f>
        <v>0.94096812278630459</v>
      </c>
      <c r="L20" s="15">
        <f>HLOOKUP($H20+$D$2,FarmacologiaAvancadaCalculo!$P$1:$W$6,5,TRUE)</f>
        <v>0</v>
      </c>
      <c r="M20" s="15">
        <f>HLOOKUP($H20+$D$2,FarmacologiaAvancadaCalculo!$P$1:$W$6,6,TRUE)</f>
        <v>0</v>
      </c>
      <c r="N20" s="18">
        <f t="shared" si="0"/>
        <v>8.0590318772136946</v>
      </c>
    </row>
    <row r="23" spans="1:14" x14ac:dyDescent="0.25">
      <c r="A23" s="2" t="s">
        <v>28</v>
      </c>
    </row>
    <row r="24" spans="1:14" x14ac:dyDescent="0.25">
      <c r="A24" s="2" t="s">
        <v>29</v>
      </c>
    </row>
    <row r="25" spans="1:14" x14ac:dyDescent="0.25">
      <c r="A25" s="2" t="s">
        <v>49</v>
      </c>
    </row>
    <row r="26" spans="1:14" x14ac:dyDescent="0.25">
      <c r="A26" s="2" t="s">
        <v>48</v>
      </c>
    </row>
    <row r="27" spans="1:14" ht="165" customHeight="1" x14ac:dyDescent="0.25">
      <c r="A27" s="21" t="s">
        <v>50</v>
      </c>
      <c r="B27" s="21"/>
      <c r="C27" s="21"/>
      <c r="D27" s="21"/>
      <c r="E27" s="21"/>
      <c r="F27" s="21"/>
      <c r="G27" s="21"/>
    </row>
  </sheetData>
  <mergeCells count="1">
    <mergeCell ref="A27:G27"/>
  </mergeCells>
  <phoneticPr fontId="4" type="noConversion"/>
  <dataValidations disablePrompts="1" count="1">
    <dataValidation type="list" allowBlank="1" showInputMessage="1" showErrorMessage="1" sqref="B9" xr:uid="{A3A870EC-2187-4219-A3FA-B11868DC97A9}">
      <formula1>LEVEL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BD28B-B37E-4974-95B5-D7F1EB3D13DF}">
  <sheetPr codeName="Sheet2"/>
  <dimension ref="A1:I15"/>
  <sheetViews>
    <sheetView workbookViewId="0">
      <selection activeCell="I15" sqref="I15"/>
    </sheetView>
  </sheetViews>
  <sheetFormatPr defaultRowHeight="15" x14ac:dyDescent="0.25"/>
  <sheetData>
    <row r="1" spans="1:9" x14ac:dyDescent="0.25">
      <c r="A1" t="s">
        <v>22</v>
      </c>
      <c r="B1" t="s">
        <v>23</v>
      </c>
      <c r="C1" t="s">
        <v>26</v>
      </c>
    </row>
    <row r="2" spans="1:9" x14ac:dyDescent="0.25">
      <c r="A2">
        <v>1</v>
      </c>
      <c r="B2">
        <v>600</v>
      </c>
      <c r="C2">
        <v>7</v>
      </c>
      <c r="E2" s="6"/>
    </row>
    <row r="3" spans="1:9" x14ac:dyDescent="0.25">
      <c r="A3">
        <v>2</v>
      </c>
      <c r="B3">
        <v>580</v>
      </c>
      <c r="C3">
        <v>8</v>
      </c>
      <c r="E3" s="6"/>
    </row>
    <row r="4" spans="1:9" x14ac:dyDescent="0.25">
      <c r="A4">
        <v>3</v>
      </c>
      <c r="B4">
        <v>560</v>
      </c>
      <c r="C4">
        <v>8</v>
      </c>
      <c r="E4" s="6"/>
    </row>
    <row r="5" spans="1:9" x14ac:dyDescent="0.25">
      <c r="A5">
        <v>4</v>
      </c>
      <c r="B5">
        <v>540</v>
      </c>
      <c r="C5">
        <v>9</v>
      </c>
      <c r="E5" s="6"/>
    </row>
    <row r="6" spans="1:9" x14ac:dyDescent="0.25">
      <c r="A6">
        <v>5</v>
      </c>
      <c r="B6">
        <v>520</v>
      </c>
      <c r="C6">
        <v>9</v>
      </c>
      <c r="E6" s="6"/>
    </row>
    <row r="7" spans="1:9" x14ac:dyDescent="0.25">
      <c r="A7">
        <v>6</v>
      </c>
      <c r="B7">
        <v>500</v>
      </c>
      <c r="C7">
        <v>10</v>
      </c>
      <c r="E7" s="6"/>
    </row>
    <row r="8" spans="1:9" x14ac:dyDescent="0.25">
      <c r="A8">
        <v>7</v>
      </c>
      <c r="B8">
        <v>480</v>
      </c>
      <c r="C8">
        <v>10</v>
      </c>
      <c r="E8" s="6"/>
    </row>
    <row r="9" spans="1:9" x14ac:dyDescent="0.25">
      <c r="A9">
        <v>8</v>
      </c>
      <c r="B9">
        <v>460</v>
      </c>
      <c r="C9">
        <v>11</v>
      </c>
      <c r="E9" s="6"/>
    </row>
    <row r="10" spans="1:9" x14ac:dyDescent="0.25">
      <c r="A10">
        <v>9</v>
      </c>
      <c r="B10">
        <v>440</v>
      </c>
      <c r="C10">
        <v>11</v>
      </c>
    </row>
    <row r="11" spans="1:9" x14ac:dyDescent="0.25">
      <c r="A11">
        <v>10</v>
      </c>
      <c r="B11">
        <v>420</v>
      </c>
      <c r="C11">
        <v>12</v>
      </c>
    </row>
    <row r="15" spans="1:9" x14ac:dyDescent="0.25">
      <c r="A15" t="s">
        <v>42</v>
      </c>
      <c r="B15" s="6">
        <v>10</v>
      </c>
      <c r="C15" s="6">
        <v>15</v>
      </c>
      <c r="D15" s="6">
        <v>20</v>
      </c>
      <c r="E15" s="6">
        <v>30</v>
      </c>
      <c r="F15" s="6">
        <v>40</v>
      </c>
      <c r="G15" s="6">
        <v>80</v>
      </c>
      <c r="H15" s="6">
        <v>120</v>
      </c>
      <c r="I15" s="6">
        <v>160</v>
      </c>
    </row>
  </sheetData>
  <sortState xmlns:xlrd2="http://schemas.microsoft.com/office/spreadsheetml/2017/richdata2" ref="H1:H19">
    <sortCondition ref="H1:H19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D9B90-53D0-4819-9359-1D1C7C80CF69}">
  <sheetPr codeName="Sheet3"/>
  <dimension ref="A1:W848"/>
  <sheetViews>
    <sheetView workbookViewId="0">
      <selection activeCell="M2" sqref="M2:M848"/>
    </sheetView>
  </sheetViews>
  <sheetFormatPr defaultRowHeight="15" x14ac:dyDescent="0.25"/>
  <cols>
    <col min="2" max="8" width="11" customWidth="1"/>
    <col min="13" max="13" width="8.28515625" bestFit="1" customWidth="1"/>
    <col min="14" max="14" width="8.28515625" customWidth="1"/>
    <col min="15" max="15" width="13.28515625" customWidth="1"/>
    <col min="16" max="16" width="12" bestFit="1" customWidth="1"/>
  </cols>
  <sheetData>
    <row r="1" spans="1:23" x14ac:dyDescent="0.25">
      <c r="B1">
        <v>4</v>
      </c>
      <c r="C1">
        <v>5</v>
      </c>
      <c r="D1">
        <v>6</v>
      </c>
      <c r="E1">
        <v>7</v>
      </c>
      <c r="F1">
        <v>8</v>
      </c>
      <c r="G1">
        <v>9</v>
      </c>
      <c r="H1">
        <v>10</v>
      </c>
      <c r="P1" s="14">
        <f>Farmacologia!$D$2+FarmacologiaAvancada!B15</f>
        <v>430</v>
      </c>
      <c r="Q1" s="14">
        <f>Farmacologia!$D$2+FarmacologiaAvancada!C15</f>
        <v>435</v>
      </c>
      <c r="R1" s="14">
        <f>Farmacologia!$D$2+FarmacologiaAvancada!D15</f>
        <v>440</v>
      </c>
      <c r="S1" s="14">
        <f>Farmacologia!$D$2+FarmacologiaAvancada!E15</f>
        <v>450</v>
      </c>
      <c r="T1" s="14">
        <f>Farmacologia!$D$2+FarmacologiaAvancada!F15</f>
        <v>460</v>
      </c>
      <c r="U1" s="14">
        <f>Farmacologia!$D$2+FarmacologiaAvancada!G15</f>
        <v>500</v>
      </c>
      <c r="V1" s="14">
        <f>Farmacologia!$D$2+FarmacologiaAvancada!H15</f>
        <v>540</v>
      </c>
      <c r="W1" s="14">
        <f>Farmacologia!$D$2+FarmacologiaAvancada!I15</f>
        <v>580</v>
      </c>
    </row>
    <row r="2" spans="1:23" x14ac:dyDescent="0.25">
      <c r="A2">
        <v>30</v>
      </c>
      <c r="B2">
        <f>Farmacologia!$B$2
 +(Farmacologia!$B$3/2)
 +Farmacologia!$B$4
 +Farmacologia!$B$6
 +(FarmacologiaAvancadaCalculo!$A2)
 +(Farmacologia!$B$5-100)
 +(Farmacologia!$B$7*5)
 +(Farmacologia!$B$8*FarmacologiaAvancadaCalculo!B$1)</f>
        <v>609</v>
      </c>
      <c r="C2">
        <f>Farmacologia!$B$2
 +(Farmacologia!$B$3/2)
 +Farmacologia!$B$4
 +Farmacologia!$B$6
 +(FarmacologiaAvancadaCalculo!$A2)
 +(Farmacologia!$B$5-100)
 +(Farmacologia!$B$7*5)
 +(Farmacologia!$B$8*FarmacologiaAvancadaCalculo!C$1)</f>
        <v>614</v>
      </c>
      <c r="D2">
        <f>Farmacologia!$B$2
 +(Farmacologia!$B$3/2)
 +Farmacologia!$B$4
 +Farmacologia!$B$6
 +(FarmacologiaAvancadaCalculo!$A2)
 +(Farmacologia!$B$5-100)
 +(Farmacologia!$B$7*5)
 +(Farmacologia!$B$8*FarmacologiaAvancadaCalculo!D$1)</f>
        <v>619</v>
      </c>
      <c r="E2">
        <f>Farmacologia!$B$2
 +(Farmacologia!$B$3/2)
 +Farmacologia!$B$4
 +Farmacologia!$B$6
 +(FarmacologiaAvancadaCalculo!$A2)
 +(Farmacologia!$B$5-100)
 +(Farmacologia!$B$7*5)
 +(Farmacologia!$B$8*FarmacologiaAvancadaCalculo!E$1)</f>
        <v>624</v>
      </c>
      <c r="F2">
        <f>Farmacologia!$B$2
 +(Farmacologia!$B$3/2)
 +Farmacologia!$B$4
 +Farmacologia!$B$6
 +(FarmacologiaAvancadaCalculo!$A2)
 +(Farmacologia!$B$5-100)
 +(Farmacologia!$B$7*5)
 +(Farmacologia!$B$8*FarmacologiaAvancadaCalculo!F$1)</f>
        <v>629</v>
      </c>
      <c r="G2">
        <f>Farmacologia!$B$2
 +(Farmacologia!$B$3/2)
 +Farmacologia!$B$4
 +Farmacologia!$B$6
 +(FarmacologiaAvancadaCalculo!$A2)
 +(Farmacologia!$B$5-100)
 +(Farmacologia!$B$7*5)
 +(Farmacologia!$B$8*FarmacologiaAvancadaCalculo!G$1)</f>
        <v>634</v>
      </c>
      <c r="H2">
        <f>Farmacologia!$B$2
 +(Farmacologia!$B$3/2)
 +Farmacologia!$B$4
 +Farmacologia!$B$6
 +(FarmacologiaAvancadaCalculo!$A2)
 +(Farmacologia!$B$5-100)
 +(Farmacologia!$B$7*5)
 +(Farmacologia!$B$8*FarmacologiaAvancadaCalculo!H$1)</f>
        <v>639</v>
      </c>
      <c r="M2">
        <v>609</v>
      </c>
      <c r="N2">
        <f>COUNT(M2:M848)</f>
        <v>847</v>
      </c>
      <c r="O2" t="s">
        <v>46</v>
      </c>
      <c r="P2">
        <f>COUNTIF($M$2:$M$848,"&gt;="&amp;P$1+400)/$N$2</f>
        <v>0</v>
      </c>
      <c r="Q2">
        <f t="shared" ref="Q2:W2" si="0">COUNTIF($M$2:$M$848,"&gt;="&amp;Q$1+400)/$N$2</f>
        <v>0</v>
      </c>
      <c r="R2">
        <f t="shared" si="0"/>
        <v>0</v>
      </c>
      <c r="S2">
        <f t="shared" si="0"/>
        <v>0</v>
      </c>
      <c r="T2">
        <f t="shared" si="0"/>
        <v>0</v>
      </c>
      <c r="U2">
        <f t="shared" si="0"/>
        <v>0</v>
      </c>
      <c r="V2">
        <f t="shared" si="0"/>
        <v>0</v>
      </c>
      <c r="W2">
        <f t="shared" si="0"/>
        <v>0</v>
      </c>
    </row>
    <row r="3" spans="1:23" x14ac:dyDescent="0.25">
      <c r="A3">
        <v>31</v>
      </c>
      <c r="B3">
        <f>Farmacologia!$B$2
 +(Farmacologia!$B$3/2)
 +Farmacologia!$B$4
 +Farmacologia!$B$6
 +(FarmacologiaAvancadaCalculo!$A3)
 +(Farmacologia!$B$5-100)
 +(Farmacologia!$B$7*5)
 +(Farmacologia!$B$8*FarmacologiaAvancadaCalculo!B$1)</f>
        <v>610</v>
      </c>
      <c r="C3">
        <f>Farmacologia!$B$2
 +(Farmacologia!$B$3/2)
 +Farmacologia!$B$4
 +Farmacologia!$B$6
 +(FarmacologiaAvancadaCalculo!$A3)
 +(Farmacologia!$B$5-100)
 +(Farmacologia!$B$7*5)
 +(Farmacologia!$B$8*FarmacologiaAvancadaCalculo!C$1)</f>
        <v>615</v>
      </c>
      <c r="D3">
        <f>Farmacologia!$B$2
 +(Farmacologia!$B$3/2)
 +Farmacologia!$B$4
 +Farmacologia!$B$6
 +(FarmacologiaAvancadaCalculo!$A3)
 +(Farmacologia!$B$5-100)
 +(Farmacologia!$B$7*5)
 +(Farmacologia!$B$8*FarmacologiaAvancadaCalculo!D$1)</f>
        <v>620</v>
      </c>
      <c r="E3">
        <f>Farmacologia!$B$2
 +(Farmacologia!$B$3/2)
 +Farmacologia!$B$4
 +Farmacologia!$B$6
 +(FarmacologiaAvancadaCalculo!$A3)
 +(Farmacologia!$B$5-100)
 +(Farmacologia!$B$7*5)
 +(Farmacologia!$B$8*FarmacologiaAvancadaCalculo!E$1)</f>
        <v>625</v>
      </c>
      <c r="F3">
        <f>Farmacologia!$B$2
 +(Farmacologia!$B$3/2)
 +Farmacologia!$B$4
 +Farmacologia!$B$6
 +(FarmacologiaAvancadaCalculo!$A3)
 +(Farmacologia!$B$5-100)
 +(Farmacologia!$B$7*5)
 +(Farmacologia!$B$8*FarmacologiaAvancadaCalculo!F$1)</f>
        <v>630</v>
      </c>
      <c r="G3">
        <f>Farmacologia!$B$2
 +(Farmacologia!$B$3/2)
 +Farmacologia!$B$4
 +Farmacologia!$B$6
 +(FarmacologiaAvancadaCalculo!$A3)
 +(Farmacologia!$B$5-100)
 +(Farmacologia!$B$7*5)
 +(Farmacologia!$B$8*FarmacologiaAvancadaCalculo!G$1)</f>
        <v>635</v>
      </c>
      <c r="H3">
        <f>Farmacologia!$B$2
 +(Farmacologia!$B$3/2)
 +Farmacologia!$B$4
 +Farmacologia!$B$6
 +(FarmacologiaAvancadaCalculo!$A3)
 +(Farmacologia!$B$5-100)
 +(Farmacologia!$B$7*5)
 +(Farmacologia!$B$8*FarmacologiaAvancadaCalculo!H$1)</f>
        <v>640</v>
      </c>
      <c r="M3">
        <v>614</v>
      </c>
      <c r="O3" t="s">
        <v>45</v>
      </c>
      <c r="P3">
        <f>COUNTIFS($M$2:$M$848,"&gt;="&amp;P$1+300,$M$2:$M$848,"&lt;"&amp;P$1+400)/$N$2</f>
        <v>0.12396694214876033</v>
      </c>
      <c r="Q3">
        <f t="shared" ref="Q3:W3" si="1">COUNTIFS($M$2:$M$848,"&gt;="&amp;Q$1+300,$M$2:$M$848,"&lt;"&amp;Q$1+400)/$N$2</f>
        <v>8.8547815820543094E-2</v>
      </c>
      <c r="R3">
        <f t="shared" si="1"/>
        <v>5.9031877213695398E-2</v>
      </c>
      <c r="S3">
        <f t="shared" si="1"/>
        <v>1.770956316410862E-2</v>
      </c>
      <c r="T3">
        <f t="shared" si="1"/>
        <v>0</v>
      </c>
      <c r="U3">
        <f t="shared" si="1"/>
        <v>0</v>
      </c>
      <c r="V3">
        <f t="shared" si="1"/>
        <v>0</v>
      </c>
      <c r="W3">
        <f t="shared" si="1"/>
        <v>0</v>
      </c>
    </row>
    <row r="4" spans="1:23" x14ac:dyDescent="0.25">
      <c r="A4">
        <v>32</v>
      </c>
      <c r="B4">
        <f>Farmacologia!$B$2
 +(Farmacologia!$B$3/2)
 +Farmacologia!$B$4
 +Farmacologia!$B$6
 +(FarmacologiaAvancadaCalculo!$A4)
 +(Farmacologia!$B$5-100)
 +(Farmacologia!$B$7*5)
 +(Farmacologia!$B$8*FarmacologiaAvancadaCalculo!B$1)</f>
        <v>611</v>
      </c>
      <c r="C4">
        <f>Farmacologia!$B$2
 +(Farmacologia!$B$3/2)
 +Farmacologia!$B$4
 +Farmacologia!$B$6
 +(FarmacologiaAvancadaCalculo!$A4)
 +(Farmacologia!$B$5-100)
 +(Farmacologia!$B$7*5)
 +(Farmacologia!$B$8*FarmacologiaAvancadaCalculo!C$1)</f>
        <v>616</v>
      </c>
      <c r="D4">
        <f>Farmacologia!$B$2
 +(Farmacologia!$B$3/2)
 +Farmacologia!$B$4
 +Farmacologia!$B$6
 +(FarmacologiaAvancadaCalculo!$A4)
 +(Farmacologia!$B$5-100)
 +(Farmacologia!$B$7*5)
 +(Farmacologia!$B$8*FarmacologiaAvancadaCalculo!D$1)</f>
        <v>621</v>
      </c>
      <c r="E4">
        <f>Farmacologia!$B$2
 +(Farmacologia!$B$3/2)
 +Farmacologia!$B$4
 +Farmacologia!$B$6
 +(FarmacologiaAvancadaCalculo!$A4)
 +(Farmacologia!$B$5-100)
 +(Farmacologia!$B$7*5)
 +(Farmacologia!$B$8*FarmacologiaAvancadaCalculo!E$1)</f>
        <v>626</v>
      </c>
      <c r="F4">
        <f>Farmacologia!$B$2
 +(Farmacologia!$B$3/2)
 +Farmacologia!$B$4
 +Farmacologia!$B$6
 +(FarmacologiaAvancadaCalculo!$A4)
 +(Farmacologia!$B$5-100)
 +(Farmacologia!$B$7*5)
 +(Farmacologia!$B$8*FarmacologiaAvancadaCalculo!F$1)</f>
        <v>631</v>
      </c>
      <c r="G4">
        <f>Farmacologia!$B$2
 +(Farmacologia!$B$3/2)
 +Farmacologia!$B$4
 +Farmacologia!$B$6
 +(FarmacologiaAvancadaCalculo!$A4)
 +(Farmacologia!$B$5-100)
 +(Farmacologia!$B$7*5)
 +(Farmacologia!$B$8*FarmacologiaAvancadaCalculo!G$1)</f>
        <v>636</v>
      </c>
      <c r="H4">
        <f>Farmacologia!$B$2
 +(Farmacologia!$B$3/2)
 +Farmacologia!$B$4
 +Farmacologia!$B$6
 +(FarmacologiaAvancadaCalculo!$A4)
 +(Farmacologia!$B$5-100)
 +(Farmacologia!$B$7*5)
 +(Farmacologia!$B$8*FarmacologiaAvancadaCalculo!H$1)</f>
        <v>641</v>
      </c>
      <c r="M4">
        <v>619</v>
      </c>
      <c r="O4" t="s">
        <v>44</v>
      </c>
      <c r="P4">
        <f>COUNTIFS($M$2:$M$848,"&gt;="&amp;P$1+100,$M$2:$M$848,"&lt;"&amp;P$1+300)/$N$2</f>
        <v>0.87603305785123964</v>
      </c>
      <c r="Q4">
        <f t="shared" ref="Q4:W4" si="2">COUNTIFS($M$2:$M$848,"&gt;="&amp;Q$1+100,$M$2:$M$848,"&lt;"&amp;Q$1+300)/$N$2</f>
        <v>0.91145218417945695</v>
      </c>
      <c r="R4">
        <f t="shared" si="2"/>
        <v>0.94096812278630459</v>
      </c>
      <c r="S4">
        <f t="shared" si="2"/>
        <v>0.98229043683589135</v>
      </c>
      <c r="T4">
        <f t="shared" si="2"/>
        <v>1</v>
      </c>
      <c r="U4">
        <f t="shared" si="2"/>
        <v>1</v>
      </c>
      <c r="V4">
        <f t="shared" si="2"/>
        <v>0.86776859504132231</v>
      </c>
      <c r="W4">
        <f t="shared" si="2"/>
        <v>0.53719008264462809</v>
      </c>
    </row>
    <row r="5" spans="1:23" x14ac:dyDescent="0.25">
      <c r="A5">
        <v>33</v>
      </c>
      <c r="B5">
        <f>Farmacologia!$B$2
 +(Farmacologia!$B$3/2)
 +Farmacologia!$B$4
 +Farmacologia!$B$6
 +(FarmacologiaAvancadaCalculo!$A5)
 +(Farmacologia!$B$5-100)
 +(Farmacologia!$B$7*5)
 +(Farmacologia!$B$8*FarmacologiaAvancadaCalculo!B$1)</f>
        <v>612</v>
      </c>
      <c r="C5">
        <f>Farmacologia!$B$2
 +(Farmacologia!$B$3/2)
 +Farmacologia!$B$4
 +Farmacologia!$B$6
 +(FarmacologiaAvancadaCalculo!$A5)
 +(Farmacologia!$B$5-100)
 +(Farmacologia!$B$7*5)
 +(Farmacologia!$B$8*FarmacologiaAvancadaCalculo!C$1)</f>
        <v>617</v>
      </c>
      <c r="D5">
        <f>Farmacologia!$B$2
 +(Farmacologia!$B$3/2)
 +Farmacologia!$B$4
 +Farmacologia!$B$6
 +(FarmacologiaAvancadaCalculo!$A5)
 +(Farmacologia!$B$5-100)
 +(Farmacologia!$B$7*5)
 +(Farmacologia!$B$8*FarmacologiaAvancadaCalculo!D$1)</f>
        <v>622</v>
      </c>
      <c r="E5">
        <f>Farmacologia!$B$2
 +(Farmacologia!$B$3/2)
 +Farmacologia!$B$4
 +Farmacologia!$B$6
 +(FarmacologiaAvancadaCalculo!$A5)
 +(Farmacologia!$B$5-100)
 +(Farmacologia!$B$7*5)
 +(Farmacologia!$B$8*FarmacologiaAvancadaCalculo!E$1)</f>
        <v>627</v>
      </c>
      <c r="F5">
        <f>Farmacologia!$B$2
 +(Farmacologia!$B$3/2)
 +Farmacologia!$B$4
 +Farmacologia!$B$6
 +(FarmacologiaAvancadaCalculo!$A5)
 +(Farmacologia!$B$5-100)
 +(Farmacologia!$B$7*5)
 +(Farmacologia!$B$8*FarmacologiaAvancadaCalculo!F$1)</f>
        <v>632</v>
      </c>
      <c r="G5">
        <f>Farmacologia!$B$2
 +(Farmacologia!$B$3/2)
 +Farmacologia!$B$4
 +Farmacologia!$B$6
 +(FarmacologiaAvancadaCalculo!$A5)
 +(Farmacologia!$B$5-100)
 +(Farmacologia!$B$7*5)
 +(Farmacologia!$B$8*FarmacologiaAvancadaCalculo!G$1)</f>
        <v>637</v>
      </c>
      <c r="H5">
        <f>Farmacologia!$B$2
 +(Farmacologia!$B$3/2)
 +Farmacologia!$B$4
 +Farmacologia!$B$6
 +(FarmacologiaAvancadaCalculo!$A5)
 +(Farmacologia!$B$5-100)
 +(Farmacologia!$B$7*5)
 +(Farmacologia!$B$8*FarmacologiaAvancadaCalculo!H$1)</f>
        <v>642</v>
      </c>
      <c r="M5">
        <v>624</v>
      </c>
      <c r="O5" t="s">
        <v>43</v>
      </c>
      <c r="P5">
        <f>COUNTIFS($M$2:$M$848,"&gt;="&amp;P$1,$M$2:$M$848,"&lt;"&amp;P$1+100)/$N$2</f>
        <v>0</v>
      </c>
      <c r="Q5">
        <f t="shared" ref="Q5:W5" si="3">COUNTIFS($M$2:$M$848,"&gt;="&amp;Q$1,$M$2:$M$848,"&lt;"&amp;Q$1+100)/$N$2</f>
        <v>0</v>
      </c>
      <c r="R5">
        <f t="shared" si="3"/>
        <v>0</v>
      </c>
      <c r="S5">
        <f t="shared" si="3"/>
        <v>0</v>
      </c>
      <c r="T5">
        <f t="shared" si="3"/>
        <v>0</v>
      </c>
      <c r="U5">
        <f t="shared" si="3"/>
        <v>0</v>
      </c>
      <c r="V5">
        <f t="shared" si="3"/>
        <v>0.13223140495867769</v>
      </c>
      <c r="W5">
        <f t="shared" si="3"/>
        <v>0.46280991735537191</v>
      </c>
    </row>
    <row r="6" spans="1:23" x14ac:dyDescent="0.25">
      <c r="A6">
        <v>34</v>
      </c>
      <c r="B6">
        <f>Farmacologia!$B$2
 +(Farmacologia!$B$3/2)
 +Farmacologia!$B$4
 +Farmacologia!$B$6
 +(FarmacologiaAvancadaCalculo!$A6)
 +(Farmacologia!$B$5-100)
 +(Farmacologia!$B$7*5)
 +(Farmacologia!$B$8*FarmacologiaAvancadaCalculo!B$1)</f>
        <v>613</v>
      </c>
      <c r="C6">
        <f>Farmacologia!$B$2
 +(Farmacologia!$B$3/2)
 +Farmacologia!$B$4
 +Farmacologia!$B$6
 +(FarmacologiaAvancadaCalculo!$A6)
 +(Farmacologia!$B$5-100)
 +(Farmacologia!$B$7*5)
 +(Farmacologia!$B$8*FarmacologiaAvancadaCalculo!C$1)</f>
        <v>618</v>
      </c>
      <c r="D6">
        <f>Farmacologia!$B$2
 +(Farmacologia!$B$3/2)
 +Farmacologia!$B$4
 +Farmacologia!$B$6
 +(FarmacologiaAvancadaCalculo!$A6)
 +(Farmacologia!$B$5-100)
 +(Farmacologia!$B$7*5)
 +(Farmacologia!$B$8*FarmacologiaAvancadaCalculo!D$1)</f>
        <v>623</v>
      </c>
      <c r="E6">
        <f>Farmacologia!$B$2
 +(Farmacologia!$B$3/2)
 +Farmacologia!$B$4
 +Farmacologia!$B$6
 +(FarmacologiaAvancadaCalculo!$A6)
 +(Farmacologia!$B$5-100)
 +(Farmacologia!$B$7*5)
 +(Farmacologia!$B$8*FarmacologiaAvancadaCalculo!E$1)</f>
        <v>628</v>
      </c>
      <c r="F6">
        <f>Farmacologia!$B$2
 +(Farmacologia!$B$3/2)
 +Farmacologia!$B$4
 +Farmacologia!$B$6
 +(FarmacologiaAvancadaCalculo!$A6)
 +(Farmacologia!$B$5-100)
 +(Farmacologia!$B$7*5)
 +(Farmacologia!$B$8*FarmacologiaAvancadaCalculo!F$1)</f>
        <v>633</v>
      </c>
      <c r="G6">
        <f>Farmacologia!$B$2
 +(Farmacologia!$B$3/2)
 +Farmacologia!$B$4
 +Farmacologia!$B$6
 +(FarmacologiaAvancadaCalculo!$A6)
 +(Farmacologia!$B$5-100)
 +(Farmacologia!$B$7*5)
 +(Farmacologia!$B$8*FarmacologiaAvancadaCalculo!G$1)</f>
        <v>638</v>
      </c>
      <c r="H6">
        <f>Farmacologia!$B$2
 +(Farmacologia!$B$3/2)
 +Farmacologia!$B$4
 +Farmacologia!$B$6
 +(FarmacologiaAvancadaCalculo!$A6)
 +(Farmacologia!$B$5-100)
 +(Farmacologia!$B$7*5)
 +(Farmacologia!$B$8*FarmacologiaAvancadaCalculo!H$1)</f>
        <v>643</v>
      </c>
      <c r="M6">
        <v>629</v>
      </c>
      <c r="O6" t="s">
        <v>47</v>
      </c>
      <c r="P6">
        <f>COUNTIFS($M$2:$M$848,"&lt;"&amp;P$1)/$N$2</f>
        <v>0</v>
      </c>
      <c r="Q6">
        <f t="shared" ref="Q6:W6" si="4">COUNTIFS($M$2:$M$848,"&lt;"&amp;Q$1)/$N$2</f>
        <v>0</v>
      </c>
      <c r="R6">
        <f t="shared" si="4"/>
        <v>0</v>
      </c>
      <c r="S6">
        <f t="shared" si="4"/>
        <v>0</v>
      </c>
      <c r="T6">
        <f t="shared" si="4"/>
        <v>0</v>
      </c>
      <c r="U6">
        <f t="shared" si="4"/>
        <v>0</v>
      </c>
      <c r="V6">
        <f t="shared" si="4"/>
        <v>0</v>
      </c>
      <c r="W6">
        <f t="shared" si="4"/>
        <v>0</v>
      </c>
    </row>
    <row r="7" spans="1:23" x14ac:dyDescent="0.25">
      <c r="A7">
        <v>35</v>
      </c>
      <c r="B7">
        <f>Farmacologia!$B$2
 +(Farmacologia!$B$3/2)
 +Farmacologia!$B$4
 +Farmacologia!$B$6
 +(FarmacologiaAvancadaCalculo!$A7)
 +(Farmacologia!$B$5-100)
 +(Farmacologia!$B$7*5)
 +(Farmacologia!$B$8*FarmacologiaAvancadaCalculo!B$1)</f>
        <v>614</v>
      </c>
      <c r="C7">
        <f>Farmacologia!$B$2
 +(Farmacologia!$B$3/2)
 +Farmacologia!$B$4
 +Farmacologia!$B$6
 +(FarmacologiaAvancadaCalculo!$A7)
 +(Farmacologia!$B$5-100)
 +(Farmacologia!$B$7*5)
 +(Farmacologia!$B$8*FarmacologiaAvancadaCalculo!C$1)</f>
        <v>619</v>
      </c>
      <c r="D7">
        <f>Farmacologia!$B$2
 +(Farmacologia!$B$3/2)
 +Farmacologia!$B$4
 +Farmacologia!$B$6
 +(FarmacologiaAvancadaCalculo!$A7)
 +(Farmacologia!$B$5-100)
 +(Farmacologia!$B$7*5)
 +(Farmacologia!$B$8*FarmacologiaAvancadaCalculo!D$1)</f>
        <v>624</v>
      </c>
      <c r="E7">
        <f>Farmacologia!$B$2
 +(Farmacologia!$B$3/2)
 +Farmacologia!$B$4
 +Farmacologia!$B$6
 +(FarmacologiaAvancadaCalculo!$A7)
 +(Farmacologia!$B$5-100)
 +(Farmacologia!$B$7*5)
 +(Farmacologia!$B$8*FarmacologiaAvancadaCalculo!E$1)</f>
        <v>629</v>
      </c>
      <c r="F7">
        <f>Farmacologia!$B$2
 +(Farmacologia!$B$3/2)
 +Farmacologia!$B$4
 +Farmacologia!$B$6
 +(FarmacologiaAvancadaCalculo!$A7)
 +(Farmacologia!$B$5-100)
 +(Farmacologia!$B$7*5)
 +(Farmacologia!$B$8*FarmacologiaAvancadaCalculo!F$1)</f>
        <v>634</v>
      </c>
      <c r="G7">
        <f>Farmacologia!$B$2
 +(Farmacologia!$B$3/2)
 +Farmacologia!$B$4
 +Farmacologia!$B$6
 +(FarmacologiaAvancadaCalculo!$A7)
 +(Farmacologia!$B$5-100)
 +(Farmacologia!$B$7*5)
 +(Farmacologia!$B$8*FarmacologiaAvancadaCalculo!G$1)</f>
        <v>639</v>
      </c>
      <c r="H7">
        <f>Farmacologia!$B$2
 +(Farmacologia!$B$3/2)
 +Farmacologia!$B$4
 +Farmacologia!$B$6
 +(FarmacologiaAvancadaCalculo!$A7)
 +(Farmacologia!$B$5-100)
 +(Farmacologia!$B$7*5)
 +(Farmacologia!$B$8*FarmacologiaAvancadaCalculo!H$1)</f>
        <v>644</v>
      </c>
      <c r="M7">
        <v>634</v>
      </c>
    </row>
    <row r="8" spans="1:23" x14ac:dyDescent="0.25">
      <c r="A8">
        <v>36</v>
      </c>
      <c r="B8">
        <f>Farmacologia!$B$2
 +(Farmacologia!$B$3/2)
 +Farmacologia!$B$4
 +Farmacologia!$B$6
 +(FarmacologiaAvancadaCalculo!$A8)
 +(Farmacologia!$B$5-100)
 +(Farmacologia!$B$7*5)
 +(Farmacologia!$B$8*FarmacologiaAvancadaCalculo!B$1)</f>
        <v>615</v>
      </c>
      <c r="C8">
        <f>Farmacologia!$B$2
 +(Farmacologia!$B$3/2)
 +Farmacologia!$B$4
 +Farmacologia!$B$6
 +(FarmacologiaAvancadaCalculo!$A8)
 +(Farmacologia!$B$5-100)
 +(Farmacologia!$B$7*5)
 +(Farmacologia!$B$8*FarmacologiaAvancadaCalculo!C$1)</f>
        <v>620</v>
      </c>
      <c r="D8">
        <f>Farmacologia!$B$2
 +(Farmacologia!$B$3/2)
 +Farmacologia!$B$4
 +Farmacologia!$B$6
 +(FarmacologiaAvancadaCalculo!$A8)
 +(Farmacologia!$B$5-100)
 +(Farmacologia!$B$7*5)
 +(Farmacologia!$B$8*FarmacologiaAvancadaCalculo!D$1)</f>
        <v>625</v>
      </c>
      <c r="E8">
        <f>Farmacologia!$B$2
 +(Farmacologia!$B$3/2)
 +Farmacologia!$B$4
 +Farmacologia!$B$6
 +(FarmacologiaAvancadaCalculo!$A8)
 +(Farmacologia!$B$5-100)
 +(Farmacologia!$B$7*5)
 +(Farmacologia!$B$8*FarmacologiaAvancadaCalculo!E$1)</f>
        <v>630</v>
      </c>
      <c r="F8">
        <f>Farmacologia!$B$2
 +(Farmacologia!$B$3/2)
 +Farmacologia!$B$4
 +Farmacologia!$B$6
 +(FarmacologiaAvancadaCalculo!$A8)
 +(Farmacologia!$B$5-100)
 +(Farmacologia!$B$7*5)
 +(Farmacologia!$B$8*FarmacologiaAvancadaCalculo!F$1)</f>
        <v>635</v>
      </c>
      <c r="G8">
        <f>Farmacologia!$B$2
 +(Farmacologia!$B$3/2)
 +Farmacologia!$B$4
 +Farmacologia!$B$6
 +(FarmacologiaAvancadaCalculo!$A8)
 +(Farmacologia!$B$5-100)
 +(Farmacologia!$B$7*5)
 +(Farmacologia!$B$8*FarmacologiaAvancadaCalculo!G$1)</f>
        <v>640</v>
      </c>
      <c r="H8">
        <f>Farmacologia!$B$2
 +(Farmacologia!$B$3/2)
 +Farmacologia!$B$4
 +Farmacologia!$B$6
 +(FarmacologiaAvancadaCalculo!$A8)
 +(Farmacologia!$B$5-100)
 +(Farmacologia!$B$7*5)
 +(Farmacologia!$B$8*FarmacologiaAvancadaCalculo!H$1)</f>
        <v>645</v>
      </c>
      <c r="M8">
        <v>639</v>
      </c>
    </row>
    <row r="9" spans="1:23" x14ac:dyDescent="0.25">
      <c r="A9">
        <v>37</v>
      </c>
      <c r="B9">
        <f>Farmacologia!$B$2
 +(Farmacologia!$B$3/2)
 +Farmacologia!$B$4
 +Farmacologia!$B$6
 +(FarmacologiaAvancadaCalculo!$A9)
 +(Farmacologia!$B$5-100)
 +(Farmacologia!$B$7*5)
 +(Farmacologia!$B$8*FarmacologiaAvancadaCalculo!B$1)</f>
        <v>616</v>
      </c>
      <c r="C9">
        <f>Farmacologia!$B$2
 +(Farmacologia!$B$3/2)
 +Farmacologia!$B$4
 +Farmacologia!$B$6
 +(FarmacologiaAvancadaCalculo!$A9)
 +(Farmacologia!$B$5-100)
 +(Farmacologia!$B$7*5)
 +(Farmacologia!$B$8*FarmacologiaAvancadaCalculo!C$1)</f>
        <v>621</v>
      </c>
      <c r="D9">
        <f>Farmacologia!$B$2
 +(Farmacologia!$B$3/2)
 +Farmacologia!$B$4
 +Farmacologia!$B$6
 +(FarmacologiaAvancadaCalculo!$A9)
 +(Farmacologia!$B$5-100)
 +(Farmacologia!$B$7*5)
 +(Farmacologia!$B$8*FarmacologiaAvancadaCalculo!D$1)</f>
        <v>626</v>
      </c>
      <c r="E9">
        <f>Farmacologia!$B$2
 +(Farmacologia!$B$3/2)
 +Farmacologia!$B$4
 +Farmacologia!$B$6
 +(FarmacologiaAvancadaCalculo!$A9)
 +(Farmacologia!$B$5-100)
 +(Farmacologia!$B$7*5)
 +(Farmacologia!$B$8*FarmacologiaAvancadaCalculo!E$1)</f>
        <v>631</v>
      </c>
      <c r="F9">
        <f>Farmacologia!$B$2
 +(Farmacologia!$B$3/2)
 +Farmacologia!$B$4
 +Farmacologia!$B$6
 +(FarmacologiaAvancadaCalculo!$A9)
 +(Farmacologia!$B$5-100)
 +(Farmacologia!$B$7*5)
 +(Farmacologia!$B$8*FarmacologiaAvancadaCalculo!F$1)</f>
        <v>636</v>
      </c>
      <c r="G9">
        <f>Farmacologia!$B$2
 +(Farmacologia!$B$3/2)
 +Farmacologia!$B$4
 +Farmacologia!$B$6
 +(FarmacologiaAvancadaCalculo!$A9)
 +(Farmacologia!$B$5-100)
 +(Farmacologia!$B$7*5)
 +(Farmacologia!$B$8*FarmacologiaAvancadaCalculo!G$1)</f>
        <v>641</v>
      </c>
      <c r="H9">
        <f>Farmacologia!$B$2
 +(Farmacologia!$B$3/2)
 +Farmacologia!$B$4
 +Farmacologia!$B$6
 +(FarmacologiaAvancadaCalculo!$A9)
 +(Farmacologia!$B$5-100)
 +(Farmacologia!$B$7*5)
 +(Farmacologia!$B$8*FarmacologiaAvancadaCalculo!H$1)</f>
        <v>646</v>
      </c>
      <c r="M9">
        <v>610</v>
      </c>
    </row>
    <row r="10" spans="1:23" x14ac:dyDescent="0.25">
      <c r="A10">
        <v>38</v>
      </c>
      <c r="B10">
        <f>Farmacologia!$B$2
 +(Farmacologia!$B$3/2)
 +Farmacologia!$B$4
 +Farmacologia!$B$6
 +(FarmacologiaAvancadaCalculo!$A10)
 +(Farmacologia!$B$5-100)
 +(Farmacologia!$B$7*5)
 +(Farmacologia!$B$8*FarmacologiaAvancadaCalculo!B$1)</f>
        <v>617</v>
      </c>
      <c r="C10">
        <f>Farmacologia!$B$2
 +(Farmacologia!$B$3/2)
 +Farmacologia!$B$4
 +Farmacologia!$B$6
 +(FarmacologiaAvancadaCalculo!$A10)
 +(Farmacologia!$B$5-100)
 +(Farmacologia!$B$7*5)
 +(Farmacologia!$B$8*FarmacologiaAvancadaCalculo!C$1)</f>
        <v>622</v>
      </c>
      <c r="D10">
        <f>Farmacologia!$B$2
 +(Farmacologia!$B$3/2)
 +Farmacologia!$B$4
 +Farmacologia!$B$6
 +(FarmacologiaAvancadaCalculo!$A10)
 +(Farmacologia!$B$5-100)
 +(Farmacologia!$B$7*5)
 +(Farmacologia!$B$8*FarmacologiaAvancadaCalculo!D$1)</f>
        <v>627</v>
      </c>
      <c r="E10">
        <f>Farmacologia!$B$2
 +(Farmacologia!$B$3/2)
 +Farmacologia!$B$4
 +Farmacologia!$B$6
 +(FarmacologiaAvancadaCalculo!$A10)
 +(Farmacologia!$B$5-100)
 +(Farmacologia!$B$7*5)
 +(Farmacologia!$B$8*FarmacologiaAvancadaCalculo!E$1)</f>
        <v>632</v>
      </c>
      <c r="F10">
        <f>Farmacologia!$B$2
 +(Farmacologia!$B$3/2)
 +Farmacologia!$B$4
 +Farmacologia!$B$6
 +(FarmacologiaAvancadaCalculo!$A10)
 +(Farmacologia!$B$5-100)
 +(Farmacologia!$B$7*5)
 +(Farmacologia!$B$8*FarmacologiaAvancadaCalculo!F$1)</f>
        <v>637</v>
      </c>
      <c r="G10">
        <f>Farmacologia!$B$2
 +(Farmacologia!$B$3/2)
 +Farmacologia!$B$4
 +Farmacologia!$B$6
 +(FarmacologiaAvancadaCalculo!$A10)
 +(Farmacologia!$B$5-100)
 +(Farmacologia!$B$7*5)
 +(Farmacologia!$B$8*FarmacologiaAvancadaCalculo!G$1)</f>
        <v>642</v>
      </c>
      <c r="H10">
        <f>Farmacologia!$B$2
 +(Farmacologia!$B$3/2)
 +Farmacologia!$B$4
 +Farmacologia!$B$6
 +(FarmacologiaAvancadaCalculo!$A10)
 +(Farmacologia!$B$5-100)
 +(Farmacologia!$B$7*5)
 +(Farmacologia!$B$8*FarmacologiaAvancadaCalculo!H$1)</f>
        <v>647</v>
      </c>
      <c r="M10">
        <v>615</v>
      </c>
    </row>
    <row r="11" spans="1:23" x14ac:dyDescent="0.25">
      <c r="A11">
        <v>39</v>
      </c>
      <c r="B11">
        <f>Farmacologia!$B$2
 +(Farmacologia!$B$3/2)
 +Farmacologia!$B$4
 +Farmacologia!$B$6
 +(FarmacologiaAvancadaCalculo!$A11)
 +(Farmacologia!$B$5-100)
 +(Farmacologia!$B$7*5)
 +(Farmacologia!$B$8*FarmacologiaAvancadaCalculo!B$1)</f>
        <v>618</v>
      </c>
      <c r="C11">
        <f>Farmacologia!$B$2
 +(Farmacologia!$B$3/2)
 +Farmacologia!$B$4
 +Farmacologia!$B$6
 +(FarmacologiaAvancadaCalculo!$A11)
 +(Farmacologia!$B$5-100)
 +(Farmacologia!$B$7*5)
 +(Farmacologia!$B$8*FarmacologiaAvancadaCalculo!C$1)</f>
        <v>623</v>
      </c>
      <c r="D11">
        <f>Farmacologia!$B$2
 +(Farmacologia!$B$3/2)
 +Farmacologia!$B$4
 +Farmacologia!$B$6
 +(FarmacologiaAvancadaCalculo!$A11)
 +(Farmacologia!$B$5-100)
 +(Farmacologia!$B$7*5)
 +(Farmacologia!$B$8*FarmacologiaAvancadaCalculo!D$1)</f>
        <v>628</v>
      </c>
      <c r="E11">
        <f>Farmacologia!$B$2
 +(Farmacologia!$B$3/2)
 +Farmacologia!$B$4
 +Farmacologia!$B$6
 +(FarmacologiaAvancadaCalculo!$A11)
 +(Farmacologia!$B$5-100)
 +(Farmacologia!$B$7*5)
 +(Farmacologia!$B$8*FarmacologiaAvancadaCalculo!E$1)</f>
        <v>633</v>
      </c>
      <c r="F11">
        <f>Farmacologia!$B$2
 +(Farmacologia!$B$3/2)
 +Farmacologia!$B$4
 +Farmacologia!$B$6
 +(FarmacologiaAvancadaCalculo!$A11)
 +(Farmacologia!$B$5-100)
 +(Farmacologia!$B$7*5)
 +(Farmacologia!$B$8*FarmacologiaAvancadaCalculo!F$1)</f>
        <v>638</v>
      </c>
      <c r="G11">
        <f>Farmacologia!$B$2
 +(Farmacologia!$B$3/2)
 +Farmacologia!$B$4
 +Farmacologia!$B$6
 +(FarmacologiaAvancadaCalculo!$A11)
 +(Farmacologia!$B$5-100)
 +(Farmacologia!$B$7*5)
 +(Farmacologia!$B$8*FarmacologiaAvancadaCalculo!G$1)</f>
        <v>643</v>
      </c>
      <c r="H11">
        <f>Farmacologia!$B$2
 +(Farmacologia!$B$3/2)
 +Farmacologia!$B$4
 +Farmacologia!$B$6
 +(FarmacologiaAvancadaCalculo!$A11)
 +(Farmacologia!$B$5-100)
 +(Farmacologia!$B$7*5)
 +(Farmacologia!$B$8*FarmacologiaAvancadaCalculo!H$1)</f>
        <v>648</v>
      </c>
      <c r="M11">
        <v>620</v>
      </c>
    </row>
    <row r="12" spans="1:23" x14ac:dyDescent="0.25">
      <c r="A12">
        <v>40</v>
      </c>
      <c r="B12">
        <f>Farmacologia!$B$2
 +(Farmacologia!$B$3/2)
 +Farmacologia!$B$4
 +Farmacologia!$B$6
 +(FarmacologiaAvancadaCalculo!$A12)
 +(Farmacologia!$B$5-100)
 +(Farmacologia!$B$7*5)
 +(Farmacologia!$B$8*FarmacologiaAvancadaCalculo!B$1)</f>
        <v>619</v>
      </c>
      <c r="C12">
        <f>Farmacologia!$B$2
 +(Farmacologia!$B$3/2)
 +Farmacologia!$B$4
 +Farmacologia!$B$6
 +(FarmacologiaAvancadaCalculo!$A12)
 +(Farmacologia!$B$5-100)
 +(Farmacologia!$B$7*5)
 +(Farmacologia!$B$8*FarmacologiaAvancadaCalculo!C$1)</f>
        <v>624</v>
      </c>
      <c r="D12">
        <f>Farmacologia!$B$2
 +(Farmacologia!$B$3/2)
 +Farmacologia!$B$4
 +Farmacologia!$B$6
 +(FarmacologiaAvancadaCalculo!$A12)
 +(Farmacologia!$B$5-100)
 +(Farmacologia!$B$7*5)
 +(Farmacologia!$B$8*FarmacologiaAvancadaCalculo!D$1)</f>
        <v>629</v>
      </c>
      <c r="E12">
        <f>Farmacologia!$B$2
 +(Farmacologia!$B$3/2)
 +Farmacologia!$B$4
 +Farmacologia!$B$6
 +(FarmacologiaAvancadaCalculo!$A12)
 +(Farmacologia!$B$5-100)
 +(Farmacologia!$B$7*5)
 +(Farmacologia!$B$8*FarmacologiaAvancadaCalculo!E$1)</f>
        <v>634</v>
      </c>
      <c r="F12">
        <f>Farmacologia!$B$2
 +(Farmacologia!$B$3/2)
 +Farmacologia!$B$4
 +Farmacologia!$B$6
 +(FarmacologiaAvancadaCalculo!$A12)
 +(Farmacologia!$B$5-100)
 +(Farmacologia!$B$7*5)
 +(Farmacologia!$B$8*FarmacologiaAvancadaCalculo!F$1)</f>
        <v>639</v>
      </c>
      <c r="G12">
        <f>Farmacologia!$B$2
 +(Farmacologia!$B$3/2)
 +Farmacologia!$B$4
 +Farmacologia!$B$6
 +(FarmacologiaAvancadaCalculo!$A12)
 +(Farmacologia!$B$5-100)
 +(Farmacologia!$B$7*5)
 +(Farmacologia!$B$8*FarmacologiaAvancadaCalculo!G$1)</f>
        <v>644</v>
      </c>
      <c r="H12">
        <f>Farmacologia!$B$2
 +(Farmacologia!$B$3/2)
 +Farmacologia!$B$4
 +Farmacologia!$B$6
 +(FarmacologiaAvancadaCalculo!$A12)
 +(Farmacologia!$B$5-100)
 +(Farmacologia!$B$7*5)
 +(Farmacologia!$B$8*FarmacologiaAvancadaCalculo!H$1)</f>
        <v>649</v>
      </c>
      <c r="M12">
        <v>625</v>
      </c>
    </row>
    <row r="13" spans="1:23" x14ac:dyDescent="0.25">
      <c r="A13">
        <v>41</v>
      </c>
      <c r="B13">
        <f>Farmacologia!$B$2
 +(Farmacologia!$B$3/2)
 +Farmacologia!$B$4
 +Farmacologia!$B$6
 +(FarmacologiaAvancadaCalculo!$A13)
 +(Farmacologia!$B$5-100)
 +(Farmacologia!$B$7*5)
 +(Farmacologia!$B$8*FarmacologiaAvancadaCalculo!B$1)</f>
        <v>620</v>
      </c>
      <c r="C13">
        <f>Farmacologia!$B$2
 +(Farmacologia!$B$3/2)
 +Farmacologia!$B$4
 +Farmacologia!$B$6
 +(FarmacologiaAvancadaCalculo!$A13)
 +(Farmacologia!$B$5-100)
 +(Farmacologia!$B$7*5)
 +(Farmacologia!$B$8*FarmacologiaAvancadaCalculo!C$1)</f>
        <v>625</v>
      </c>
      <c r="D13">
        <f>Farmacologia!$B$2
 +(Farmacologia!$B$3/2)
 +Farmacologia!$B$4
 +Farmacologia!$B$6
 +(FarmacologiaAvancadaCalculo!$A13)
 +(Farmacologia!$B$5-100)
 +(Farmacologia!$B$7*5)
 +(Farmacologia!$B$8*FarmacologiaAvancadaCalculo!D$1)</f>
        <v>630</v>
      </c>
      <c r="E13">
        <f>Farmacologia!$B$2
 +(Farmacologia!$B$3/2)
 +Farmacologia!$B$4
 +Farmacologia!$B$6
 +(FarmacologiaAvancadaCalculo!$A13)
 +(Farmacologia!$B$5-100)
 +(Farmacologia!$B$7*5)
 +(Farmacologia!$B$8*FarmacologiaAvancadaCalculo!E$1)</f>
        <v>635</v>
      </c>
      <c r="F13">
        <f>Farmacologia!$B$2
 +(Farmacologia!$B$3/2)
 +Farmacologia!$B$4
 +Farmacologia!$B$6
 +(FarmacologiaAvancadaCalculo!$A13)
 +(Farmacologia!$B$5-100)
 +(Farmacologia!$B$7*5)
 +(Farmacologia!$B$8*FarmacologiaAvancadaCalculo!F$1)</f>
        <v>640</v>
      </c>
      <c r="G13">
        <f>Farmacologia!$B$2
 +(Farmacologia!$B$3/2)
 +Farmacologia!$B$4
 +Farmacologia!$B$6
 +(FarmacologiaAvancadaCalculo!$A13)
 +(Farmacologia!$B$5-100)
 +(Farmacologia!$B$7*5)
 +(Farmacologia!$B$8*FarmacologiaAvancadaCalculo!G$1)</f>
        <v>645</v>
      </c>
      <c r="H13">
        <f>Farmacologia!$B$2
 +(Farmacologia!$B$3/2)
 +Farmacologia!$B$4
 +Farmacologia!$B$6
 +(FarmacologiaAvancadaCalculo!$A13)
 +(Farmacologia!$B$5-100)
 +(Farmacologia!$B$7*5)
 +(Farmacologia!$B$8*FarmacologiaAvancadaCalculo!H$1)</f>
        <v>650</v>
      </c>
      <c r="M13">
        <v>630</v>
      </c>
    </row>
    <row r="14" spans="1:23" x14ac:dyDescent="0.25">
      <c r="A14">
        <v>42</v>
      </c>
      <c r="B14">
        <f>Farmacologia!$B$2
 +(Farmacologia!$B$3/2)
 +Farmacologia!$B$4
 +Farmacologia!$B$6
 +(FarmacologiaAvancadaCalculo!$A14)
 +(Farmacologia!$B$5-100)
 +(Farmacologia!$B$7*5)
 +(Farmacologia!$B$8*FarmacologiaAvancadaCalculo!B$1)</f>
        <v>621</v>
      </c>
      <c r="C14">
        <f>Farmacologia!$B$2
 +(Farmacologia!$B$3/2)
 +Farmacologia!$B$4
 +Farmacologia!$B$6
 +(FarmacologiaAvancadaCalculo!$A14)
 +(Farmacologia!$B$5-100)
 +(Farmacologia!$B$7*5)
 +(Farmacologia!$B$8*FarmacologiaAvancadaCalculo!C$1)</f>
        <v>626</v>
      </c>
      <c r="D14">
        <f>Farmacologia!$B$2
 +(Farmacologia!$B$3/2)
 +Farmacologia!$B$4
 +Farmacologia!$B$6
 +(FarmacologiaAvancadaCalculo!$A14)
 +(Farmacologia!$B$5-100)
 +(Farmacologia!$B$7*5)
 +(Farmacologia!$B$8*FarmacologiaAvancadaCalculo!D$1)</f>
        <v>631</v>
      </c>
      <c r="E14">
        <f>Farmacologia!$B$2
 +(Farmacologia!$B$3/2)
 +Farmacologia!$B$4
 +Farmacologia!$B$6
 +(FarmacologiaAvancadaCalculo!$A14)
 +(Farmacologia!$B$5-100)
 +(Farmacologia!$B$7*5)
 +(Farmacologia!$B$8*FarmacologiaAvancadaCalculo!E$1)</f>
        <v>636</v>
      </c>
      <c r="F14">
        <f>Farmacologia!$B$2
 +(Farmacologia!$B$3/2)
 +Farmacologia!$B$4
 +Farmacologia!$B$6
 +(FarmacologiaAvancadaCalculo!$A14)
 +(Farmacologia!$B$5-100)
 +(Farmacologia!$B$7*5)
 +(Farmacologia!$B$8*FarmacologiaAvancadaCalculo!F$1)</f>
        <v>641</v>
      </c>
      <c r="G14">
        <f>Farmacologia!$B$2
 +(Farmacologia!$B$3/2)
 +Farmacologia!$B$4
 +Farmacologia!$B$6
 +(FarmacologiaAvancadaCalculo!$A14)
 +(Farmacologia!$B$5-100)
 +(Farmacologia!$B$7*5)
 +(Farmacologia!$B$8*FarmacologiaAvancadaCalculo!G$1)</f>
        <v>646</v>
      </c>
      <c r="H14">
        <f>Farmacologia!$B$2
 +(Farmacologia!$B$3/2)
 +Farmacologia!$B$4
 +Farmacologia!$B$6
 +(FarmacologiaAvancadaCalculo!$A14)
 +(Farmacologia!$B$5-100)
 +(Farmacologia!$B$7*5)
 +(Farmacologia!$B$8*FarmacologiaAvancadaCalculo!H$1)</f>
        <v>651</v>
      </c>
      <c r="M14">
        <v>635</v>
      </c>
    </row>
    <row r="15" spans="1:23" x14ac:dyDescent="0.25">
      <c r="A15">
        <v>43</v>
      </c>
      <c r="B15">
        <f>Farmacologia!$B$2
 +(Farmacologia!$B$3/2)
 +Farmacologia!$B$4
 +Farmacologia!$B$6
 +(FarmacologiaAvancadaCalculo!$A15)
 +(Farmacologia!$B$5-100)
 +(Farmacologia!$B$7*5)
 +(Farmacologia!$B$8*FarmacologiaAvancadaCalculo!B$1)</f>
        <v>622</v>
      </c>
      <c r="C15">
        <f>Farmacologia!$B$2
 +(Farmacologia!$B$3/2)
 +Farmacologia!$B$4
 +Farmacologia!$B$6
 +(FarmacologiaAvancadaCalculo!$A15)
 +(Farmacologia!$B$5-100)
 +(Farmacologia!$B$7*5)
 +(Farmacologia!$B$8*FarmacologiaAvancadaCalculo!C$1)</f>
        <v>627</v>
      </c>
      <c r="D15">
        <f>Farmacologia!$B$2
 +(Farmacologia!$B$3/2)
 +Farmacologia!$B$4
 +Farmacologia!$B$6
 +(FarmacologiaAvancadaCalculo!$A15)
 +(Farmacologia!$B$5-100)
 +(Farmacologia!$B$7*5)
 +(Farmacologia!$B$8*FarmacologiaAvancadaCalculo!D$1)</f>
        <v>632</v>
      </c>
      <c r="E15">
        <f>Farmacologia!$B$2
 +(Farmacologia!$B$3/2)
 +Farmacologia!$B$4
 +Farmacologia!$B$6
 +(FarmacologiaAvancadaCalculo!$A15)
 +(Farmacologia!$B$5-100)
 +(Farmacologia!$B$7*5)
 +(Farmacologia!$B$8*FarmacologiaAvancadaCalculo!E$1)</f>
        <v>637</v>
      </c>
      <c r="F15">
        <f>Farmacologia!$B$2
 +(Farmacologia!$B$3/2)
 +Farmacologia!$B$4
 +Farmacologia!$B$6
 +(FarmacologiaAvancadaCalculo!$A15)
 +(Farmacologia!$B$5-100)
 +(Farmacologia!$B$7*5)
 +(Farmacologia!$B$8*FarmacologiaAvancadaCalculo!F$1)</f>
        <v>642</v>
      </c>
      <c r="G15">
        <f>Farmacologia!$B$2
 +(Farmacologia!$B$3/2)
 +Farmacologia!$B$4
 +Farmacologia!$B$6
 +(FarmacologiaAvancadaCalculo!$A15)
 +(Farmacologia!$B$5-100)
 +(Farmacologia!$B$7*5)
 +(Farmacologia!$B$8*FarmacologiaAvancadaCalculo!G$1)</f>
        <v>647</v>
      </c>
      <c r="H15">
        <f>Farmacologia!$B$2
 +(Farmacologia!$B$3/2)
 +Farmacologia!$B$4
 +Farmacologia!$B$6
 +(FarmacologiaAvancadaCalculo!$A15)
 +(Farmacologia!$B$5-100)
 +(Farmacologia!$B$7*5)
 +(Farmacologia!$B$8*FarmacologiaAvancadaCalculo!H$1)</f>
        <v>652</v>
      </c>
      <c r="M15">
        <v>640</v>
      </c>
    </row>
    <row r="16" spans="1:23" x14ac:dyDescent="0.25">
      <c r="A16">
        <v>44</v>
      </c>
      <c r="B16">
        <f>Farmacologia!$B$2
 +(Farmacologia!$B$3/2)
 +Farmacologia!$B$4
 +Farmacologia!$B$6
 +(FarmacologiaAvancadaCalculo!$A16)
 +(Farmacologia!$B$5-100)
 +(Farmacologia!$B$7*5)
 +(Farmacologia!$B$8*FarmacologiaAvancadaCalculo!B$1)</f>
        <v>623</v>
      </c>
      <c r="C16">
        <f>Farmacologia!$B$2
 +(Farmacologia!$B$3/2)
 +Farmacologia!$B$4
 +Farmacologia!$B$6
 +(FarmacologiaAvancadaCalculo!$A16)
 +(Farmacologia!$B$5-100)
 +(Farmacologia!$B$7*5)
 +(Farmacologia!$B$8*FarmacologiaAvancadaCalculo!C$1)</f>
        <v>628</v>
      </c>
      <c r="D16">
        <f>Farmacologia!$B$2
 +(Farmacologia!$B$3/2)
 +Farmacologia!$B$4
 +Farmacologia!$B$6
 +(FarmacologiaAvancadaCalculo!$A16)
 +(Farmacologia!$B$5-100)
 +(Farmacologia!$B$7*5)
 +(Farmacologia!$B$8*FarmacologiaAvancadaCalculo!D$1)</f>
        <v>633</v>
      </c>
      <c r="E16">
        <f>Farmacologia!$B$2
 +(Farmacologia!$B$3/2)
 +Farmacologia!$B$4
 +Farmacologia!$B$6
 +(FarmacologiaAvancadaCalculo!$A16)
 +(Farmacologia!$B$5-100)
 +(Farmacologia!$B$7*5)
 +(Farmacologia!$B$8*FarmacologiaAvancadaCalculo!E$1)</f>
        <v>638</v>
      </c>
      <c r="F16">
        <f>Farmacologia!$B$2
 +(Farmacologia!$B$3/2)
 +Farmacologia!$B$4
 +Farmacologia!$B$6
 +(FarmacologiaAvancadaCalculo!$A16)
 +(Farmacologia!$B$5-100)
 +(Farmacologia!$B$7*5)
 +(Farmacologia!$B$8*FarmacologiaAvancadaCalculo!F$1)</f>
        <v>643</v>
      </c>
      <c r="G16">
        <f>Farmacologia!$B$2
 +(Farmacologia!$B$3/2)
 +Farmacologia!$B$4
 +Farmacologia!$B$6
 +(FarmacologiaAvancadaCalculo!$A16)
 +(Farmacologia!$B$5-100)
 +(Farmacologia!$B$7*5)
 +(Farmacologia!$B$8*FarmacologiaAvancadaCalculo!G$1)</f>
        <v>648</v>
      </c>
      <c r="H16">
        <f>Farmacologia!$B$2
 +(Farmacologia!$B$3/2)
 +Farmacologia!$B$4
 +Farmacologia!$B$6
 +(FarmacologiaAvancadaCalculo!$A16)
 +(Farmacologia!$B$5-100)
 +(Farmacologia!$B$7*5)
 +(Farmacologia!$B$8*FarmacologiaAvancadaCalculo!H$1)</f>
        <v>653</v>
      </c>
      <c r="M16">
        <v>611</v>
      </c>
    </row>
    <row r="17" spans="1:13" x14ac:dyDescent="0.25">
      <c r="A17">
        <v>45</v>
      </c>
      <c r="B17">
        <f>Farmacologia!$B$2
 +(Farmacologia!$B$3/2)
 +Farmacologia!$B$4
 +Farmacologia!$B$6
 +(FarmacologiaAvancadaCalculo!$A17)
 +(Farmacologia!$B$5-100)
 +(Farmacologia!$B$7*5)
 +(Farmacologia!$B$8*FarmacologiaAvancadaCalculo!B$1)</f>
        <v>624</v>
      </c>
      <c r="C17">
        <f>Farmacologia!$B$2
 +(Farmacologia!$B$3/2)
 +Farmacologia!$B$4
 +Farmacologia!$B$6
 +(FarmacologiaAvancadaCalculo!$A17)
 +(Farmacologia!$B$5-100)
 +(Farmacologia!$B$7*5)
 +(Farmacologia!$B$8*FarmacologiaAvancadaCalculo!C$1)</f>
        <v>629</v>
      </c>
      <c r="D17">
        <f>Farmacologia!$B$2
 +(Farmacologia!$B$3/2)
 +Farmacologia!$B$4
 +Farmacologia!$B$6
 +(FarmacologiaAvancadaCalculo!$A17)
 +(Farmacologia!$B$5-100)
 +(Farmacologia!$B$7*5)
 +(Farmacologia!$B$8*FarmacologiaAvancadaCalculo!D$1)</f>
        <v>634</v>
      </c>
      <c r="E17">
        <f>Farmacologia!$B$2
 +(Farmacologia!$B$3/2)
 +Farmacologia!$B$4
 +Farmacologia!$B$6
 +(FarmacologiaAvancadaCalculo!$A17)
 +(Farmacologia!$B$5-100)
 +(Farmacologia!$B$7*5)
 +(Farmacologia!$B$8*FarmacologiaAvancadaCalculo!E$1)</f>
        <v>639</v>
      </c>
      <c r="F17">
        <f>Farmacologia!$B$2
 +(Farmacologia!$B$3/2)
 +Farmacologia!$B$4
 +Farmacologia!$B$6
 +(FarmacologiaAvancadaCalculo!$A17)
 +(Farmacologia!$B$5-100)
 +(Farmacologia!$B$7*5)
 +(Farmacologia!$B$8*FarmacologiaAvancadaCalculo!F$1)</f>
        <v>644</v>
      </c>
      <c r="G17">
        <f>Farmacologia!$B$2
 +(Farmacologia!$B$3/2)
 +Farmacologia!$B$4
 +Farmacologia!$B$6
 +(FarmacologiaAvancadaCalculo!$A17)
 +(Farmacologia!$B$5-100)
 +(Farmacologia!$B$7*5)
 +(Farmacologia!$B$8*FarmacologiaAvancadaCalculo!G$1)</f>
        <v>649</v>
      </c>
      <c r="H17">
        <f>Farmacologia!$B$2
 +(Farmacologia!$B$3/2)
 +Farmacologia!$B$4
 +Farmacologia!$B$6
 +(FarmacologiaAvancadaCalculo!$A17)
 +(Farmacologia!$B$5-100)
 +(Farmacologia!$B$7*5)
 +(Farmacologia!$B$8*FarmacologiaAvancadaCalculo!H$1)</f>
        <v>654</v>
      </c>
      <c r="M17">
        <v>616</v>
      </c>
    </row>
    <row r="18" spans="1:13" x14ac:dyDescent="0.25">
      <c r="A18">
        <v>46</v>
      </c>
      <c r="B18">
        <f>Farmacologia!$B$2
 +(Farmacologia!$B$3/2)
 +Farmacologia!$B$4
 +Farmacologia!$B$6
 +(FarmacologiaAvancadaCalculo!$A18)
 +(Farmacologia!$B$5-100)
 +(Farmacologia!$B$7*5)
 +(Farmacologia!$B$8*FarmacologiaAvancadaCalculo!B$1)</f>
        <v>625</v>
      </c>
      <c r="C18">
        <f>Farmacologia!$B$2
 +(Farmacologia!$B$3/2)
 +Farmacologia!$B$4
 +Farmacologia!$B$6
 +(FarmacologiaAvancadaCalculo!$A18)
 +(Farmacologia!$B$5-100)
 +(Farmacologia!$B$7*5)
 +(Farmacologia!$B$8*FarmacologiaAvancadaCalculo!C$1)</f>
        <v>630</v>
      </c>
      <c r="D18">
        <f>Farmacologia!$B$2
 +(Farmacologia!$B$3/2)
 +Farmacologia!$B$4
 +Farmacologia!$B$6
 +(FarmacologiaAvancadaCalculo!$A18)
 +(Farmacologia!$B$5-100)
 +(Farmacologia!$B$7*5)
 +(Farmacologia!$B$8*FarmacologiaAvancadaCalculo!D$1)</f>
        <v>635</v>
      </c>
      <c r="E18">
        <f>Farmacologia!$B$2
 +(Farmacologia!$B$3/2)
 +Farmacologia!$B$4
 +Farmacologia!$B$6
 +(FarmacologiaAvancadaCalculo!$A18)
 +(Farmacologia!$B$5-100)
 +(Farmacologia!$B$7*5)
 +(Farmacologia!$B$8*FarmacologiaAvancadaCalculo!E$1)</f>
        <v>640</v>
      </c>
      <c r="F18">
        <f>Farmacologia!$B$2
 +(Farmacologia!$B$3/2)
 +Farmacologia!$B$4
 +Farmacologia!$B$6
 +(FarmacologiaAvancadaCalculo!$A18)
 +(Farmacologia!$B$5-100)
 +(Farmacologia!$B$7*5)
 +(Farmacologia!$B$8*FarmacologiaAvancadaCalculo!F$1)</f>
        <v>645</v>
      </c>
      <c r="G18">
        <f>Farmacologia!$B$2
 +(Farmacologia!$B$3/2)
 +Farmacologia!$B$4
 +Farmacologia!$B$6
 +(FarmacologiaAvancadaCalculo!$A18)
 +(Farmacologia!$B$5-100)
 +(Farmacologia!$B$7*5)
 +(Farmacologia!$B$8*FarmacologiaAvancadaCalculo!G$1)</f>
        <v>650</v>
      </c>
      <c r="H18">
        <f>Farmacologia!$B$2
 +(Farmacologia!$B$3/2)
 +Farmacologia!$B$4
 +Farmacologia!$B$6
 +(FarmacologiaAvancadaCalculo!$A18)
 +(Farmacologia!$B$5-100)
 +(Farmacologia!$B$7*5)
 +(Farmacologia!$B$8*FarmacologiaAvancadaCalculo!H$1)</f>
        <v>655</v>
      </c>
      <c r="M18">
        <v>621</v>
      </c>
    </row>
    <row r="19" spans="1:13" x14ac:dyDescent="0.25">
      <c r="A19">
        <v>47</v>
      </c>
      <c r="B19">
        <f>Farmacologia!$B$2
 +(Farmacologia!$B$3/2)
 +Farmacologia!$B$4
 +Farmacologia!$B$6
 +(FarmacologiaAvancadaCalculo!$A19)
 +(Farmacologia!$B$5-100)
 +(Farmacologia!$B$7*5)
 +(Farmacologia!$B$8*FarmacologiaAvancadaCalculo!B$1)</f>
        <v>626</v>
      </c>
      <c r="C19">
        <f>Farmacologia!$B$2
 +(Farmacologia!$B$3/2)
 +Farmacologia!$B$4
 +Farmacologia!$B$6
 +(FarmacologiaAvancadaCalculo!$A19)
 +(Farmacologia!$B$5-100)
 +(Farmacologia!$B$7*5)
 +(Farmacologia!$B$8*FarmacologiaAvancadaCalculo!C$1)</f>
        <v>631</v>
      </c>
      <c r="D19">
        <f>Farmacologia!$B$2
 +(Farmacologia!$B$3/2)
 +Farmacologia!$B$4
 +Farmacologia!$B$6
 +(FarmacologiaAvancadaCalculo!$A19)
 +(Farmacologia!$B$5-100)
 +(Farmacologia!$B$7*5)
 +(Farmacologia!$B$8*FarmacologiaAvancadaCalculo!D$1)</f>
        <v>636</v>
      </c>
      <c r="E19">
        <f>Farmacologia!$B$2
 +(Farmacologia!$B$3/2)
 +Farmacologia!$B$4
 +Farmacologia!$B$6
 +(FarmacologiaAvancadaCalculo!$A19)
 +(Farmacologia!$B$5-100)
 +(Farmacologia!$B$7*5)
 +(Farmacologia!$B$8*FarmacologiaAvancadaCalculo!E$1)</f>
        <v>641</v>
      </c>
      <c r="F19">
        <f>Farmacologia!$B$2
 +(Farmacologia!$B$3/2)
 +Farmacologia!$B$4
 +Farmacologia!$B$6
 +(FarmacologiaAvancadaCalculo!$A19)
 +(Farmacologia!$B$5-100)
 +(Farmacologia!$B$7*5)
 +(Farmacologia!$B$8*FarmacologiaAvancadaCalculo!F$1)</f>
        <v>646</v>
      </c>
      <c r="G19">
        <f>Farmacologia!$B$2
 +(Farmacologia!$B$3/2)
 +Farmacologia!$B$4
 +Farmacologia!$B$6
 +(FarmacologiaAvancadaCalculo!$A19)
 +(Farmacologia!$B$5-100)
 +(Farmacologia!$B$7*5)
 +(Farmacologia!$B$8*FarmacologiaAvancadaCalculo!G$1)</f>
        <v>651</v>
      </c>
      <c r="H19">
        <f>Farmacologia!$B$2
 +(Farmacologia!$B$3/2)
 +Farmacologia!$B$4
 +Farmacologia!$B$6
 +(FarmacologiaAvancadaCalculo!$A19)
 +(Farmacologia!$B$5-100)
 +(Farmacologia!$B$7*5)
 +(Farmacologia!$B$8*FarmacologiaAvancadaCalculo!H$1)</f>
        <v>656</v>
      </c>
      <c r="M19">
        <v>626</v>
      </c>
    </row>
    <row r="20" spans="1:13" x14ac:dyDescent="0.25">
      <c r="A20">
        <v>48</v>
      </c>
      <c r="B20">
        <f>Farmacologia!$B$2
 +(Farmacologia!$B$3/2)
 +Farmacologia!$B$4
 +Farmacologia!$B$6
 +(FarmacologiaAvancadaCalculo!$A20)
 +(Farmacologia!$B$5-100)
 +(Farmacologia!$B$7*5)
 +(Farmacologia!$B$8*FarmacologiaAvancadaCalculo!B$1)</f>
        <v>627</v>
      </c>
      <c r="C20">
        <f>Farmacologia!$B$2
 +(Farmacologia!$B$3/2)
 +Farmacologia!$B$4
 +Farmacologia!$B$6
 +(FarmacologiaAvancadaCalculo!$A20)
 +(Farmacologia!$B$5-100)
 +(Farmacologia!$B$7*5)
 +(Farmacologia!$B$8*FarmacologiaAvancadaCalculo!C$1)</f>
        <v>632</v>
      </c>
      <c r="D20">
        <f>Farmacologia!$B$2
 +(Farmacologia!$B$3/2)
 +Farmacologia!$B$4
 +Farmacologia!$B$6
 +(FarmacologiaAvancadaCalculo!$A20)
 +(Farmacologia!$B$5-100)
 +(Farmacologia!$B$7*5)
 +(Farmacologia!$B$8*FarmacologiaAvancadaCalculo!D$1)</f>
        <v>637</v>
      </c>
      <c r="E20">
        <f>Farmacologia!$B$2
 +(Farmacologia!$B$3/2)
 +Farmacologia!$B$4
 +Farmacologia!$B$6
 +(FarmacologiaAvancadaCalculo!$A20)
 +(Farmacologia!$B$5-100)
 +(Farmacologia!$B$7*5)
 +(Farmacologia!$B$8*FarmacologiaAvancadaCalculo!E$1)</f>
        <v>642</v>
      </c>
      <c r="F20">
        <f>Farmacologia!$B$2
 +(Farmacologia!$B$3/2)
 +Farmacologia!$B$4
 +Farmacologia!$B$6
 +(FarmacologiaAvancadaCalculo!$A20)
 +(Farmacologia!$B$5-100)
 +(Farmacologia!$B$7*5)
 +(Farmacologia!$B$8*FarmacologiaAvancadaCalculo!F$1)</f>
        <v>647</v>
      </c>
      <c r="G20">
        <f>Farmacologia!$B$2
 +(Farmacologia!$B$3/2)
 +Farmacologia!$B$4
 +Farmacologia!$B$6
 +(FarmacologiaAvancadaCalculo!$A20)
 +(Farmacologia!$B$5-100)
 +(Farmacologia!$B$7*5)
 +(Farmacologia!$B$8*FarmacologiaAvancadaCalculo!G$1)</f>
        <v>652</v>
      </c>
      <c r="H20">
        <f>Farmacologia!$B$2
 +(Farmacologia!$B$3/2)
 +Farmacologia!$B$4
 +Farmacologia!$B$6
 +(FarmacologiaAvancadaCalculo!$A20)
 +(Farmacologia!$B$5-100)
 +(Farmacologia!$B$7*5)
 +(Farmacologia!$B$8*FarmacologiaAvancadaCalculo!H$1)</f>
        <v>657</v>
      </c>
      <c r="M20">
        <v>631</v>
      </c>
    </row>
    <row r="21" spans="1:13" x14ac:dyDescent="0.25">
      <c r="A21">
        <v>49</v>
      </c>
      <c r="B21">
        <f>Farmacologia!$B$2
 +(Farmacologia!$B$3/2)
 +Farmacologia!$B$4
 +Farmacologia!$B$6
 +(FarmacologiaAvancadaCalculo!$A21)
 +(Farmacologia!$B$5-100)
 +(Farmacologia!$B$7*5)
 +(Farmacologia!$B$8*FarmacologiaAvancadaCalculo!B$1)</f>
        <v>628</v>
      </c>
      <c r="C21">
        <f>Farmacologia!$B$2
 +(Farmacologia!$B$3/2)
 +Farmacologia!$B$4
 +Farmacologia!$B$6
 +(FarmacologiaAvancadaCalculo!$A21)
 +(Farmacologia!$B$5-100)
 +(Farmacologia!$B$7*5)
 +(Farmacologia!$B$8*FarmacologiaAvancadaCalculo!C$1)</f>
        <v>633</v>
      </c>
      <c r="D21">
        <f>Farmacologia!$B$2
 +(Farmacologia!$B$3/2)
 +Farmacologia!$B$4
 +Farmacologia!$B$6
 +(FarmacologiaAvancadaCalculo!$A21)
 +(Farmacologia!$B$5-100)
 +(Farmacologia!$B$7*5)
 +(Farmacologia!$B$8*FarmacologiaAvancadaCalculo!D$1)</f>
        <v>638</v>
      </c>
      <c r="E21">
        <f>Farmacologia!$B$2
 +(Farmacologia!$B$3/2)
 +Farmacologia!$B$4
 +Farmacologia!$B$6
 +(FarmacologiaAvancadaCalculo!$A21)
 +(Farmacologia!$B$5-100)
 +(Farmacologia!$B$7*5)
 +(Farmacologia!$B$8*FarmacologiaAvancadaCalculo!E$1)</f>
        <v>643</v>
      </c>
      <c r="F21">
        <f>Farmacologia!$B$2
 +(Farmacologia!$B$3/2)
 +Farmacologia!$B$4
 +Farmacologia!$B$6
 +(FarmacologiaAvancadaCalculo!$A21)
 +(Farmacologia!$B$5-100)
 +(Farmacologia!$B$7*5)
 +(Farmacologia!$B$8*FarmacologiaAvancadaCalculo!F$1)</f>
        <v>648</v>
      </c>
      <c r="G21">
        <f>Farmacologia!$B$2
 +(Farmacologia!$B$3/2)
 +Farmacologia!$B$4
 +Farmacologia!$B$6
 +(FarmacologiaAvancadaCalculo!$A21)
 +(Farmacologia!$B$5-100)
 +(Farmacologia!$B$7*5)
 +(Farmacologia!$B$8*FarmacologiaAvancadaCalculo!G$1)</f>
        <v>653</v>
      </c>
      <c r="H21">
        <f>Farmacologia!$B$2
 +(Farmacologia!$B$3/2)
 +Farmacologia!$B$4
 +Farmacologia!$B$6
 +(FarmacologiaAvancadaCalculo!$A21)
 +(Farmacologia!$B$5-100)
 +(Farmacologia!$B$7*5)
 +(Farmacologia!$B$8*FarmacologiaAvancadaCalculo!H$1)</f>
        <v>658</v>
      </c>
      <c r="M21">
        <v>636</v>
      </c>
    </row>
    <row r="22" spans="1:13" x14ac:dyDescent="0.25">
      <c r="A22">
        <v>50</v>
      </c>
      <c r="B22">
        <f>Farmacologia!$B$2
 +(Farmacologia!$B$3/2)
 +Farmacologia!$B$4
 +Farmacologia!$B$6
 +(FarmacologiaAvancadaCalculo!$A22)
 +(Farmacologia!$B$5-100)
 +(Farmacologia!$B$7*5)
 +(Farmacologia!$B$8*FarmacologiaAvancadaCalculo!B$1)</f>
        <v>629</v>
      </c>
      <c r="C22">
        <f>Farmacologia!$B$2
 +(Farmacologia!$B$3/2)
 +Farmacologia!$B$4
 +Farmacologia!$B$6
 +(FarmacologiaAvancadaCalculo!$A22)
 +(Farmacologia!$B$5-100)
 +(Farmacologia!$B$7*5)
 +(Farmacologia!$B$8*FarmacologiaAvancadaCalculo!C$1)</f>
        <v>634</v>
      </c>
      <c r="D22">
        <f>Farmacologia!$B$2
 +(Farmacologia!$B$3/2)
 +Farmacologia!$B$4
 +Farmacologia!$B$6
 +(FarmacologiaAvancadaCalculo!$A22)
 +(Farmacologia!$B$5-100)
 +(Farmacologia!$B$7*5)
 +(Farmacologia!$B$8*FarmacologiaAvancadaCalculo!D$1)</f>
        <v>639</v>
      </c>
      <c r="E22">
        <f>Farmacologia!$B$2
 +(Farmacologia!$B$3/2)
 +Farmacologia!$B$4
 +Farmacologia!$B$6
 +(FarmacologiaAvancadaCalculo!$A22)
 +(Farmacologia!$B$5-100)
 +(Farmacologia!$B$7*5)
 +(Farmacologia!$B$8*FarmacologiaAvancadaCalculo!E$1)</f>
        <v>644</v>
      </c>
      <c r="F22">
        <f>Farmacologia!$B$2
 +(Farmacologia!$B$3/2)
 +Farmacologia!$B$4
 +Farmacologia!$B$6
 +(FarmacologiaAvancadaCalculo!$A22)
 +(Farmacologia!$B$5-100)
 +(Farmacologia!$B$7*5)
 +(Farmacologia!$B$8*FarmacologiaAvancadaCalculo!F$1)</f>
        <v>649</v>
      </c>
      <c r="G22">
        <f>Farmacologia!$B$2
 +(Farmacologia!$B$3/2)
 +Farmacologia!$B$4
 +Farmacologia!$B$6
 +(FarmacologiaAvancadaCalculo!$A22)
 +(Farmacologia!$B$5-100)
 +(Farmacologia!$B$7*5)
 +(Farmacologia!$B$8*FarmacologiaAvancadaCalculo!G$1)</f>
        <v>654</v>
      </c>
      <c r="H22">
        <f>Farmacologia!$B$2
 +(Farmacologia!$B$3/2)
 +Farmacologia!$B$4
 +Farmacologia!$B$6
 +(FarmacologiaAvancadaCalculo!$A22)
 +(Farmacologia!$B$5-100)
 +(Farmacologia!$B$7*5)
 +(Farmacologia!$B$8*FarmacologiaAvancadaCalculo!H$1)</f>
        <v>659</v>
      </c>
      <c r="M22">
        <v>641</v>
      </c>
    </row>
    <row r="23" spans="1:13" x14ac:dyDescent="0.25">
      <c r="A23">
        <v>51</v>
      </c>
      <c r="B23">
        <f>Farmacologia!$B$2
 +(Farmacologia!$B$3/2)
 +Farmacologia!$B$4
 +Farmacologia!$B$6
 +(FarmacologiaAvancadaCalculo!$A23)
 +(Farmacologia!$B$5-100)
 +(Farmacologia!$B$7*5)
 +(Farmacologia!$B$8*FarmacologiaAvancadaCalculo!B$1)</f>
        <v>630</v>
      </c>
      <c r="C23">
        <f>Farmacologia!$B$2
 +(Farmacologia!$B$3/2)
 +Farmacologia!$B$4
 +Farmacologia!$B$6
 +(FarmacologiaAvancadaCalculo!$A23)
 +(Farmacologia!$B$5-100)
 +(Farmacologia!$B$7*5)
 +(Farmacologia!$B$8*FarmacologiaAvancadaCalculo!C$1)</f>
        <v>635</v>
      </c>
      <c r="D23">
        <f>Farmacologia!$B$2
 +(Farmacologia!$B$3/2)
 +Farmacologia!$B$4
 +Farmacologia!$B$6
 +(FarmacologiaAvancadaCalculo!$A23)
 +(Farmacologia!$B$5-100)
 +(Farmacologia!$B$7*5)
 +(Farmacologia!$B$8*FarmacologiaAvancadaCalculo!D$1)</f>
        <v>640</v>
      </c>
      <c r="E23">
        <f>Farmacologia!$B$2
 +(Farmacologia!$B$3/2)
 +Farmacologia!$B$4
 +Farmacologia!$B$6
 +(FarmacologiaAvancadaCalculo!$A23)
 +(Farmacologia!$B$5-100)
 +(Farmacologia!$B$7*5)
 +(Farmacologia!$B$8*FarmacologiaAvancadaCalculo!E$1)</f>
        <v>645</v>
      </c>
      <c r="F23">
        <f>Farmacologia!$B$2
 +(Farmacologia!$B$3/2)
 +Farmacologia!$B$4
 +Farmacologia!$B$6
 +(FarmacologiaAvancadaCalculo!$A23)
 +(Farmacologia!$B$5-100)
 +(Farmacologia!$B$7*5)
 +(Farmacologia!$B$8*FarmacologiaAvancadaCalculo!F$1)</f>
        <v>650</v>
      </c>
      <c r="G23">
        <f>Farmacologia!$B$2
 +(Farmacologia!$B$3/2)
 +Farmacologia!$B$4
 +Farmacologia!$B$6
 +(FarmacologiaAvancadaCalculo!$A23)
 +(Farmacologia!$B$5-100)
 +(Farmacologia!$B$7*5)
 +(Farmacologia!$B$8*FarmacologiaAvancadaCalculo!G$1)</f>
        <v>655</v>
      </c>
      <c r="H23">
        <f>Farmacologia!$B$2
 +(Farmacologia!$B$3/2)
 +Farmacologia!$B$4
 +Farmacologia!$B$6
 +(FarmacologiaAvancadaCalculo!$A23)
 +(Farmacologia!$B$5-100)
 +(Farmacologia!$B$7*5)
 +(Farmacologia!$B$8*FarmacologiaAvancadaCalculo!H$1)</f>
        <v>660</v>
      </c>
      <c r="M23">
        <v>612</v>
      </c>
    </row>
    <row r="24" spans="1:13" x14ac:dyDescent="0.25">
      <c r="A24">
        <v>52</v>
      </c>
      <c r="B24">
        <f>Farmacologia!$B$2
 +(Farmacologia!$B$3/2)
 +Farmacologia!$B$4
 +Farmacologia!$B$6
 +(FarmacologiaAvancadaCalculo!$A24)
 +(Farmacologia!$B$5-100)
 +(Farmacologia!$B$7*5)
 +(Farmacologia!$B$8*FarmacologiaAvancadaCalculo!B$1)</f>
        <v>631</v>
      </c>
      <c r="C24">
        <f>Farmacologia!$B$2
 +(Farmacologia!$B$3/2)
 +Farmacologia!$B$4
 +Farmacologia!$B$6
 +(FarmacologiaAvancadaCalculo!$A24)
 +(Farmacologia!$B$5-100)
 +(Farmacologia!$B$7*5)
 +(Farmacologia!$B$8*FarmacologiaAvancadaCalculo!C$1)</f>
        <v>636</v>
      </c>
      <c r="D24">
        <f>Farmacologia!$B$2
 +(Farmacologia!$B$3/2)
 +Farmacologia!$B$4
 +Farmacologia!$B$6
 +(FarmacologiaAvancadaCalculo!$A24)
 +(Farmacologia!$B$5-100)
 +(Farmacologia!$B$7*5)
 +(Farmacologia!$B$8*FarmacologiaAvancadaCalculo!D$1)</f>
        <v>641</v>
      </c>
      <c r="E24">
        <f>Farmacologia!$B$2
 +(Farmacologia!$B$3/2)
 +Farmacologia!$B$4
 +Farmacologia!$B$6
 +(FarmacologiaAvancadaCalculo!$A24)
 +(Farmacologia!$B$5-100)
 +(Farmacologia!$B$7*5)
 +(Farmacologia!$B$8*FarmacologiaAvancadaCalculo!E$1)</f>
        <v>646</v>
      </c>
      <c r="F24">
        <f>Farmacologia!$B$2
 +(Farmacologia!$B$3/2)
 +Farmacologia!$B$4
 +Farmacologia!$B$6
 +(FarmacologiaAvancadaCalculo!$A24)
 +(Farmacologia!$B$5-100)
 +(Farmacologia!$B$7*5)
 +(Farmacologia!$B$8*FarmacologiaAvancadaCalculo!F$1)</f>
        <v>651</v>
      </c>
      <c r="G24">
        <f>Farmacologia!$B$2
 +(Farmacologia!$B$3/2)
 +Farmacologia!$B$4
 +Farmacologia!$B$6
 +(FarmacologiaAvancadaCalculo!$A24)
 +(Farmacologia!$B$5-100)
 +(Farmacologia!$B$7*5)
 +(Farmacologia!$B$8*FarmacologiaAvancadaCalculo!G$1)</f>
        <v>656</v>
      </c>
      <c r="H24">
        <f>Farmacologia!$B$2
 +(Farmacologia!$B$3/2)
 +Farmacologia!$B$4
 +Farmacologia!$B$6
 +(FarmacologiaAvancadaCalculo!$A24)
 +(Farmacologia!$B$5-100)
 +(Farmacologia!$B$7*5)
 +(Farmacologia!$B$8*FarmacologiaAvancadaCalculo!H$1)</f>
        <v>661</v>
      </c>
      <c r="M24">
        <v>617</v>
      </c>
    </row>
    <row r="25" spans="1:13" x14ac:dyDescent="0.25">
      <c r="A25">
        <v>53</v>
      </c>
      <c r="B25">
        <f>Farmacologia!$B$2
 +(Farmacologia!$B$3/2)
 +Farmacologia!$B$4
 +Farmacologia!$B$6
 +(FarmacologiaAvancadaCalculo!$A25)
 +(Farmacologia!$B$5-100)
 +(Farmacologia!$B$7*5)
 +(Farmacologia!$B$8*FarmacologiaAvancadaCalculo!B$1)</f>
        <v>632</v>
      </c>
      <c r="C25">
        <f>Farmacologia!$B$2
 +(Farmacologia!$B$3/2)
 +Farmacologia!$B$4
 +Farmacologia!$B$6
 +(FarmacologiaAvancadaCalculo!$A25)
 +(Farmacologia!$B$5-100)
 +(Farmacologia!$B$7*5)
 +(Farmacologia!$B$8*FarmacologiaAvancadaCalculo!C$1)</f>
        <v>637</v>
      </c>
      <c r="D25">
        <f>Farmacologia!$B$2
 +(Farmacologia!$B$3/2)
 +Farmacologia!$B$4
 +Farmacologia!$B$6
 +(FarmacologiaAvancadaCalculo!$A25)
 +(Farmacologia!$B$5-100)
 +(Farmacologia!$B$7*5)
 +(Farmacologia!$B$8*FarmacologiaAvancadaCalculo!D$1)</f>
        <v>642</v>
      </c>
      <c r="E25">
        <f>Farmacologia!$B$2
 +(Farmacologia!$B$3/2)
 +Farmacologia!$B$4
 +Farmacologia!$B$6
 +(FarmacologiaAvancadaCalculo!$A25)
 +(Farmacologia!$B$5-100)
 +(Farmacologia!$B$7*5)
 +(Farmacologia!$B$8*FarmacologiaAvancadaCalculo!E$1)</f>
        <v>647</v>
      </c>
      <c r="F25">
        <f>Farmacologia!$B$2
 +(Farmacologia!$B$3/2)
 +Farmacologia!$B$4
 +Farmacologia!$B$6
 +(FarmacologiaAvancadaCalculo!$A25)
 +(Farmacologia!$B$5-100)
 +(Farmacologia!$B$7*5)
 +(Farmacologia!$B$8*FarmacologiaAvancadaCalculo!F$1)</f>
        <v>652</v>
      </c>
      <c r="G25">
        <f>Farmacologia!$B$2
 +(Farmacologia!$B$3/2)
 +Farmacologia!$B$4
 +Farmacologia!$B$6
 +(FarmacologiaAvancadaCalculo!$A25)
 +(Farmacologia!$B$5-100)
 +(Farmacologia!$B$7*5)
 +(Farmacologia!$B$8*FarmacologiaAvancadaCalculo!G$1)</f>
        <v>657</v>
      </c>
      <c r="H25">
        <f>Farmacologia!$B$2
 +(Farmacologia!$B$3/2)
 +Farmacologia!$B$4
 +Farmacologia!$B$6
 +(FarmacologiaAvancadaCalculo!$A25)
 +(Farmacologia!$B$5-100)
 +(Farmacologia!$B$7*5)
 +(Farmacologia!$B$8*FarmacologiaAvancadaCalculo!H$1)</f>
        <v>662</v>
      </c>
      <c r="M25">
        <v>622</v>
      </c>
    </row>
    <row r="26" spans="1:13" x14ac:dyDescent="0.25">
      <c r="A26">
        <v>54</v>
      </c>
      <c r="B26">
        <f>Farmacologia!$B$2
 +(Farmacologia!$B$3/2)
 +Farmacologia!$B$4
 +Farmacologia!$B$6
 +(FarmacologiaAvancadaCalculo!$A26)
 +(Farmacologia!$B$5-100)
 +(Farmacologia!$B$7*5)
 +(Farmacologia!$B$8*FarmacologiaAvancadaCalculo!B$1)</f>
        <v>633</v>
      </c>
      <c r="C26">
        <f>Farmacologia!$B$2
 +(Farmacologia!$B$3/2)
 +Farmacologia!$B$4
 +Farmacologia!$B$6
 +(FarmacologiaAvancadaCalculo!$A26)
 +(Farmacologia!$B$5-100)
 +(Farmacologia!$B$7*5)
 +(Farmacologia!$B$8*FarmacologiaAvancadaCalculo!C$1)</f>
        <v>638</v>
      </c>
      <c r="D26">
        <f>Farmacologia!$B$2
 +(Farmacologia!$B$3/2)
 +Farmacologia!$B$4
 +Farmacologia!$B$6
 +(FarmacologiaAvancadaCalculo!$A26)
 +(Farmacologia!$B$5-100)
 +(Farmacologia!$B$7*5)
 +(Farmacologia!$B$8*FarmacologiaAvancadaCalculo!D$1)</f>
        <v>643</v>
      </c>
      <c r="E26">
        <f>Farmacologia!$B$2
 +(Farmacologia!$B$3/2)
 +Farmacologia!$B$4
 +Farmacologia!$B$6
 +(FarmacologiaAvancadaCalculo!$A26)
 +(Farmacologia!$B$5-100)
 +(Farmacologia!$B$7*5)
 +(Farmacologia!$B$8*FarmacologiaAvancadaCalculo!E$1)</f>
        <v>648</v>
      </c>
      <c r="F26">
        <f>Farmacologia!$B$2
 +(Farmacologia!$B$3/2)
 +Farmacologia!$B$4
 +Farmacologia!$B$6
 +(FarmacologiaAvancadaCalculo!$A26)
 +(Farmacologia!$B$5-100)
 +(Farmacologia!$B$7*5)
 +(Farmacologia!$B$8*FarmacologiaAvancadaCalculo!F$1)</f>
        <v>653</v>
      </c>
      <c r="G26">
        <f>Farmacologia!$B$2
 +(Farmacologia!$B$3/2)
 +Farmacologia!$B$4
 +Farmacologia!$B$6
 +(FarmacologiaAvancadaCalculo!$A26)
 +(Farmacologia!$B$5-100)
 +(Farmacologia!$B$7*5)
 +(Farmacologia!$B$8*FarmacologiaAvancadaCalculo!G$1)</f>
        <v>658</v>
      </c>
      <c r="H26">
        <f>Farmacologia!$B$2
 +(Farmacologia!$B$3/2)
 +Farmacologia!$B$4
 +Farmacologia!$B$6
 +(FarmacologiaAvancadaCalculo!$A26)
 +(Farmacologia!$B$5-100)
 +(Farmacologia!$B$7*5)
 +(Farmacologia!$B$8*FarmacologiaAvancadaCalculo!H$1)</f>
        <v>663</v>
      </c>
      <c r="M26">
        <v>627</v>
      </c>
    </row>
    <row r="27" spans="1:13" x14ac:dyDescent="0.25">
      <c r="A27">
        <v>55</v>
      </c>
      <c r="B27">
        <f>Farmacologia!$B$2
 +(Farmacologia!$B$3/2)
 +Farmacologia!$B$4
 +Farmacologia!$B$6
 +(FarmacologiaAvancadaCalculo!$A27)
 +(Farmacologia!$B$5-100)
 +(Farmacologia!$B$7*5)
 +(Farmacologia!$B$8*FarmacologiaAvancadaCalculo!B$1)</f>
        <v>634</v>
      </c>
      <c r="C27">
        <f>Farmacologia!$B$2
 +(Farmacologia!$B$3/2)
 +Farmacologia!$B$4
 +Farmacologia!$B$6
 +(FarmacologiaAvancadaCalculo!$A27)
 +(Farmacologia!$B$5-100)
 +(Farmacologia!$B$7*5)
 +(Farmacologia!$B$8*FarmacologiaAvancadaCalculo!C$1)</f>
        <v>639</v>
      </c>
      <c r="D27">
        <f>Farmacologia!$B$2
 +(Farmacologia!$B$3/2)
 +Farmacologia!$B$4
 +Farmacologia!$B$6
 +(FarmacologiaAvancadaCalculo!$A27)
 +(Farmacologia!$B$5-100)
 +(Farmacologia!$B$7*5)
 +(Farmacologia!$B$8*FarmacologiaAvancadaCalculo!D$1)</f>
        <v>644</v>
      </c>
      <c r="E27">
        <f>Farmacologia!$B$2
 +(Farmacologia!$B$3/2)
 +Farmacologia!$B$4
 +Farmacologia!$B$6
 +(FarmacologiaAvancadaCalculo!$A27)
 +(Farmacologia!$B$5-100)
 +(Farmacologia!$B$7*5)
 +(Farmacologia!$B$8*FarmacologiaAvancadaCalculo!E$1)</f>
        <v>649</v>
      </c>
      <c r="F27">
        <f>Farmacologia!$B$2
 +(Farmacologia!$B$3/2)
 +Farmacologia!$B$4
 +Farmacologia!$B$6
 +(FarmacologiaAvancadaCalculo!$A27)
 +(Farmacologia!$B$5-100)
 +(Farmacologia!$B$7*5)
 +(Farmacologia!$B$8*FarmacologiaAvancadaCalculo!F$1)</f>
        <v>654</v>
      </c>
      <c r="G27">
        <f>Farmacologia!$B$2
 +(Farmacologia!$B$3/2)
 +Farmacologia!$B$4
 +Farmacologia!$B$6
 +(FarmacologiaAvancadaCalculo!$A27)
 +(Farmacologia!$B$5-100)
 +(Farmacologia!$B$7*5)
 +(Farmacologia!$B$8*FarmacologiaAvancadaCalculo!G$1)</f>
        <v>659</v>
      </c>
      <c r="H27">
        <f>Farmacologia!$B$2
 +(Farmacologia!$B$3/2)
 +Farmacologia!$B$4
 +Farmacologia!$B$6
 +(FarmacologiaAvancadaCalculo!$A27)
 +(Farmacologia!$B$5-100)
 +(Farmacologia!$B$7*5)
 +(Farmacologia!$B$8*FarmacologiaAvancadaCalculo!H$1)</f>
        <v>664</v>
      </c>
      <c r="M27">
        <v>632</v>
      </c>
    </row>
    <row r="28" spans="1:13" x14ac:dyDescent="0.25">
      <c r="A28">
        <v>56</v>
      </c>
      <c r="B28">
        <f>Farmacologia!$B$2
 +(Farmacologia!$B$3/2)
 +Farmacologia!$B$4
 +Farmacologia!$B$6
 +(FarmacologiaAvancadaCalculo!$A28)
 +(Farmacologia!$B$5-100)
 +(Farmacologia!$B$7*5)
 +(Farmacologia!$B$8*FarmacologiaAvancadaCalculo!B$1)</f>
        <v>635</v>
      </c>
      <c r="C28">
        <f>Farmacologia!$B$2
 +(Farmacologia!$B$3/2)
 +Farmacologia!$B$4
 +Farmacologia!$B$6
 +(FarmacologiaAvancadaCalculo!$A28)
 +(Farmacologia!$B$5-100)
 +(Farmacologia!$B$7*5)
 +(Farmacologia!$B$8*FarmacologiaAvancadaCalculo!C$1)</f>
        <v>640</v>
      </c>
      <c r="D28">
        <f>Farmacologia!$B$2
 +(Farmacologia!$B$3/2)
 +Farmacologia!$B$4
 +Farmacologia!$B$6
 +(FarmacologiaAvancadaCalculo!$A28)
 +(Farmacologia!$B$5-100)
 +(Farmacologia!$B$7*5)
 +(Farmacologia!$B$8*FarmacologiaAvancadaCalculo!D$1)</f>
        <v>645</v>
      </c>
      <c r="E28">
        <f>Farmacologia!$B$2
 +(Farmacologia!$B$3/2)
 +Farmacologia!$B$4
 +Farmacologia!$B$6
 +(FarmacologiaAvancadaCalculo!$A28)
 +(Farmacologia!$B$5-100)
 +(Farmacologia!$B$7*5)
 +(Farmacologia!$B$8*FarmacologiaAvancadaCalculo!E$1)</f>
        <v>650</v>
      </c>
      <c r="F28">
        <f>Farmacologia!$B$2
 +(Farmacologia!$B$3/2)
 +Farmacologia!$B$4
 +Farmacologia!$B$6
 +(FarmacologiaAvancadaCalculo!$A28)
 +(Farmacologia!$B$5-100)
 +(Farmacologia!$B$7*5)
 +(Farmacologia!$B$8*FarmacologiaAvancadaCalculo!F$1)</f>
        <v>655</v>
      </c>
      <c r="G28">
        <f>Farmacologia!$B$2
 +(Farmacologia!$B$3/2)
 +Farmacologia!$B$4
 +Farmacologia!$B$6
 +(FarmacologiaAvancadaCalculo!$A28)
 +(Farmacologia!$B$5-100)
 +(Farmacologia!$B$7*5)
 +(Farmacologia!$B$8*FarmacologiaAvancadaCalculo!G$1)</f>
        <v>660</v>
      </c>
      <c r="H28">
        <f>Farmacologia!$B$2
 +(Farmacologia!$B$3/2)
 +Farmacologia!$B$4
 +Farmacologia!$B$6
 +(FarmacologiaAvancadaCalculo!$A28)
 +(Farmacologia!$B$5-100)
 +(Farmacologia!$B$7*5)
 +(Farmacologia!$B$8*FarmacologiaAvancadaCalculo!H$1)</f>
        <v>665</v>
      </c>
      <c r="M28">
        <v>637</v>
      </c>
    </row>
    <row r="29" spans="1:13" x14ac:dyDescent="0.25">
      <c r="A29">
        <v>57</v>
      </c>
      <c r="B29">
        <f>Farmacologia!$B$2
 +(Farmacologia!$B$3/2)
 +Farmacologia!$B$4
 +Farmacologia!$B$6
 +(FarmacologiaAvancadaCalculo!$A29)
 +(Farmacologia!$B$5-100)
 +(Farmacologia!$B$7*5)
 +(Farmacologia!$B$8*FarmacologiaAvancadaCalculo!B$1)</f>
        <v>636</v>
      </c>
      <c r="C29">
        <f>Farmacologia!$B$2
 +(Farmacologia!$B$3/2)
 +Farmacologia!$B$4
 +Farmacologia!$B$6
 +(FarmacologiaAvancadaCalculo!$A29)
 +(Farmacologia!$B$5-100)
 +(Farmacologia!$B$7*5)
 +(Farmacologia!$B$8*FarmacologiaAvancadaCalculo!C$1)</f>
        <v>641</v>
      </c>
      <c r="D29">
        <f>Farmacologia!$B$2
 +(Farmacologia!$B$3/2)
 +Farmacologia!$B$4
 +Farmacologia!$B$6
 +(FarmacologiaAvancadaCalculo!$A29)
 +(Farmacologia!$B$5-100)
 +(Farmacologia!$B$7*5)
 +(Farmacologia!$B$8*FarmacologiaAvancadaCalculo!D$1)</f>
        <v>646</v>
      </c>
      <c r="E29">
        <f>Farmacologia!$B$2
 +(Farmacologia!$B$3/2)
 +Farmacologia!$B$4
 +Farmacologia!$B$6
 +(FarmacologiaAvancadaCalculo!$A29)
 +(Farmacologia!$B$5-100)
 +(Farmacologia!$B$7*5)
 +(Farmacologia!$B$8*FarmacologiaAvancadaCalculo!E$1)</f>
        <v>651</v>
      </c>
      <c r="F29">
        <f>Farmacologia!$B$2
 +(Farmacologia!$B$3/2)
 +Farmacologia!$B$4
 +Farmacologia!$B$6
 +(FarmacologiaAvancadaCalculo!$A29)
 +(Farmacologia!$B$5-100)
 +(Farmacologia!$B$7*5)
 +(Farmacologia!$B$8*FarmacologiaAvancadaCalculo!F$1)</f>
        <v>656</v>
      </c>
      <c r="G29">
        <f>Farmacologia!$B$2
 +(Farmacologia!$B$3/2)
 +Farmacologia!$B$4
 +Farmacologia!$B$6
 +(FarmacologiaAvancadaCalculo!$A29)
 +(Farmacologia!$B$5-100)
 +(Farmacologia!$B$7*5)
 +(Farmacologia!$B$8*FarmacologiaAvancadaCalculo!G$1)</f>
        <v>661</v>
      </c>
      <c r="H29">
        <f>Farmacologia!$B$2
 +(Farmacologia!$B$3/2)
 +Farmacologia!$B$4
 +Farmacologia!$B$6
 +(FarmacologiaAvancadaCalculo!$A29)
 +(Farmacologia!$B$5-100)
 +(Farmacologia!$B$7*5)
 +(Farmacologia!$B$8*FarmacologiaAvancadaCalculo!H$1)</f>
        <v>666</v>
      </c>
      <c r="M29">
        <v>642</v>
      </c>
    </row>
    <row r="30" spans="1:13" x14ac:dyDescent="0.25">
      <c r="A30">
        <v>58</v>
      </c>
      <c r="B30">
        <f>Farmacologia!$B$2
 +(Farmacologia!$B$3/2)
 +Farmacologia!$B$4
 +Farmacologia!$B$6
 +(FarmacologiaAvancadaCalculo!$A30)
 +(Farmacologia!$B$5-100)
 +(Farmacologia!$B$7*5)
 +(Farmacologia!$B$8*FarmacologiaAvancadaCalculo!B$1)</f>
        <v>637</v>
      </c>
      <c r="C30">
        <f>Farmacologia!$B$2
 +(Farmacologia!$B$3/2)
 +Farmacologia!$B$4
 +Farmacologia!$B$6
 +(FarmacologiaAvancadaCalculo!$A30)
 +(Farmacologia!$B$5-100)
 +(Farmacologia!$B$7*5)
 +(Farmacologia!$B$8*FarmacologiaAvancadaCalculo!C$1)</f>
        <v>642</v>
      </c>
      <c r="D30">
        <f>Farmacologia!$B$2
 +(Farmacologia!$B$3/2)
 +Farmacologia!$B$4
 +Farmacologia!$B$6
 +(FarmacologiaAvancadaCalculo!$A30)
 +(Farmacologia!$B$5-100)
 +(Farmacologia!$B$7*5)
 +(Farmacologia!$B$8*FarmacologiaAvancadaCalculo!D$1)</f>
        <v>647</v>
      </c>
      <c r="E30">
        <f>Farmacologia!$B$2
 +(Farmacologia!$B$3/2)
 +Farmacologia!$B$4
 +Farmacologia!$B$6
 +(FarmacologiaAvancadaCalculo!$A30)
 +(Farmacologia!$B$5-100)
 +(Farmacologia!$B$7*5)
 +(Farmacologia!$B$8*FarmacologiaAvancadaCalculo!E$1)</f>
        <v>652</v>
      </c>
      <c r="F30">
        <f>Farmacologia!$B$2
 +(Farmacologia!$B$3/2)
 +Farmacologia!$B$4
 +Farmacologia!$B$6
 +(FarmacologiaAvancadaCalculo!$A30)
 +(Farmacologia!$B$5-100)
 +(Farmacologia!$B$7*5)
 +(Farmacologia!$B$8*FarmacologiaAvancadaCalculo!F$1)</f>
        <v>657</v>
      </c>
      <c r="G30">
        <f>Farmacologia!$B$2
 +(Farmacologia!$B$3/2)
 +Farmacologia!$B$4
 +Farmacologia!$B$6
 +(FarmacologiaAvancadaCalculo!$A30)
 +(Farmacologia!$B$5-100)
 +(Farmacologia!$B$7*5)
 +(Farmacologia!$B$8*FarmacologiaAvancadaCalculo!G$1)</f>
        <v>662</v>
      </c>
      <c r="H30">
        <f>Farmacologia!$B$2
 +(Farmacologia!$B$3/2)
 +Farmacologia!$B$4
 +Farmacologia!$B$6
 +(FarmacologiaAvancadaCalculo!$A30)
 +(Farmacologia!$B$5-100)
 +(Farmacologia!$B$7*5)
 +(Farmacologia!$B$8*FarmacologiaAvancadaCalculo!H$1)</f>
        <v>667</v>
      </c>
      <c r="M30">
        <v>613</v>
      </c>
    </row>
    <row r="31" spans="1:13" x14ac:dyDescent="0.25">
      <c r="A31">
        <v>59</v>
      </c>
      <c r="B31">
        <f>Farmacologia!$B$2
 +(Farmacologia!$B$3/2)
 +Farmacologia!$B$4
 +Farmacologia!$B$6
 +(FarmacologiaAvancadaCalculo!$A31)
 +(Farmacologia!$B$5-100)
 +(Farmacologia!$B$7*5)
 +(Farmacologia!$B$8*FarmacologiaAvancadaCalculo!B$1)</f>
        <v>638</v>
      </c>
      <c r="C31">
        <f>Farmacologia!$B$2
 +(Farmacologia!$B$3/2)
 +Farmacologia!$B$4
 +Farmacologia!$B$6
 +(FarmacologiaAvancadaCalculo!$A31)
 +(Farmacologia!$B$5-100)
 +(Farmacologia!$B$7*5)
 +(Farmacologia!$B$8*FarmacologiaAvancadaCalculo!C$1)</f>
        <v>643</v>
      </c>
      <c r="D31">
        <f>Farmacologia!$B$2
 +(Farmacologia!$B$3/2)
 +Farmacologia!$B$4
 +Farmacologia!$B$6
 +(FarmacologiaAvancadaCalculo!$A31)
 +(Farmacologia!$B$5-100)
 +(Farmacologia!$B$7*5)
 +(Farmacologia!$B$8*FarmacologiaAvancadaCalculo!D$1)</f>
        <v>648</v>
      </c>
      <c r="E31">
        <f>Farmacologia!$B$2
 +(Farmacologia!$B$3/2)
 +Farmacologia!$B$4
 +Farmacologia!$B$6
 +(FarmacologiaAvancadaCalculo!$A31)
 +(Farmacologia!$B$5-100)
 +(Farmacologia!$B$7*5)
 +(Farmacologia!$B$8*FarmacologiaAvancadaCalculo!E$1)</f>
        <v>653</v>
      </c>
      <c r="F31">
        <f>Farmacologia!$B$2
 +(Farmacologia!$B$3/2)
 +Farmacologia!$B$4
 +Farmacologia!$B$6
 +(FarmacologiaAvancadaCalculo!$A31)
 +(Farmacologia!$B$5-100)
 +(Farmacologia!$B$7*5)
 +(Farmacologia!$B$8*FarmacologiaAvancadaCalculo!F$1)</f>
        <v>658</v>
      </c>
      <c r="G31">
        <f>Farmacologia!$B$2
 +(Farmacologia!$B$3/2)
 +Farmacologia!$B$4
 +Farmacologia!$B$6
 +(FarmacologiaAvancadaCalculo!$A31)
 +(Farmacologia!$B$5-100)
 +(Farmacologia!$B$7*5)
 +(Farmacologia!$B$8*FarmacologiaAvancadaCalculo!G$1)</f>
        <v>663</v>
      </c>
      <c r="H31">
        <f>Farmacologia!$B$2
 +(Farmacologia!$B$3/2)
 +Farmacologia!$B$4
 +Farmacologia!$B$6
 +(FarmacologiaAvancadaCalculo!$A31)
 +(Farmacologia!$B$5-100)
 +(Farmacologia!$B$7*5)
 +(Farmacologia!$B$8*FarmacologiaAvancadaCalculo!H$1)</f>
        <v>668</v>
      </c>
      <c r="M31">
        <v>618</v>
      </c>
    </row>
    <row r="32" spans="1:13" x14ac:dyDescent="0.25">
      <c r="A32">
        <v>60</v>
      </c>
      <c r="B32">
        <f>Farmacologia!$B$2
 +(Farmacologia!$B$3/2)
 +Farmacologia!$B$4
 +Farmacologia!$B$6
 +(FarmacologiaAvancadaCalculo!$A32)
 +(Farmacologia!$B$5-100)
 +(Farmacologia!$B$7*5)
 +(Farmacologia!$B$8*FarmacologiaAvancadaCalculo!B$1)</f>
        <v>639</v>
      </c>
      <c r="C32">
        <f>Farmacologia!$B$2
 +(Farmacologia!$B$3/2)
 +Farmacologia!$B$4
 +Farmacologia!$B$6
 +(FarmacologiaAvancadaCalculo!$A32)
 +(Farmacologia!$B$5-100)
 +(Farmacologia!$B$7*5)
 +(Farmacologia!$B$8*FarmacologiaAvancadaCalculo!C$1)</f>
        <v>644</v>
      </c>
      <c r="D32">
        <f>Farmacologia!$B$2
 +(Farmacologia!$B$3/2)
 +Farmacologia!$B$4
 +Farmacologia!$B$6
 +(FarmacologiaAvancadaCalculo!$A32)
 +(Farmacologia!$B$5-100)
 +(Farmacologia!$B$7*5)
 +(Farmacologia!$B$8*FarmacologiaAvancadaCalculo!D$1)</f>
        <v>649</v>
      </c>
      <c r="E32">
        <f>Farmacologia!$B$2
 +(Farmacologia!$B$3/2)
 +Farmacologia!$B$4
 +Farmacologia!$B$6
 +(FarmacologiaAvancadaCalculo!$A32)
 +(Farmacologia!$B$5-100)
 +(Farmacologia!$B$7*5)
 +(Farmacologia!$B$8*FarmacologiaAvancadaCalculo!E$1)</f>
        <v>654</v>
      </c>
      <c r="F32">
        <f>Farmacologia!$B$2
 +(Farmacologia!$B$3/2)
 +Farmacologia!$B$4
 +Farmacologia!$B$6
 +(FarmacologiaAvancadaCalculo!$A32)
 +(Farmacologia!$B$5-100)
 +(Farmacologia!$B$7*5)
 +(Farmacologia!$B$8*FarmacologiaAvancadaCalculo!F$1)</f>
        <v>659</v>
      </c>
      <c r="G32">
        <f>Farmacologia!$B$2
 +(Farmacologia!$B$3/2)
 +Farmacologia!$B$4
 +Farmacologia!$B$6
 +(FarmacologiaAvancadaCalculo!$A32)
 +(Farmacologia!$B$5-100)
 +(Farmacologia!$B$7*5)
 +(Farmacologia!$B$8*FarmacologiaAvancadaCalculo!G$1)</f>
        <v>664</v>
      </c>
      <c r="H32">
        <f>Farmacologia!$B$2
 +(Farmacologia!$B$3/2)
 +Farmacologia!$B$4
 +Farmacologia!$B$6
 +(FarmacologiaAvancadaCalculo!$A32)
 +(Farmacologia!$B$5-100)
 +(Farmacologia!$B$7*5)
 +(Farmacologia!$B$8*FarmacologiaAvancadaCalculo!H$1)</f>
        <v>669</v>
      </c>
      <c r="M32">
        <v>623</v>
      </c>
    </row>
    <row r="33" spans="1:13" x14ac:dyDescent="0.25">
      <c r="A33">
        <v>61</v>
      </c>
      <c r="B33">
        <f>Farmacologia!$B$2
 +(Farmacologia!$B$3/2)
 +Farmacologia!$B$4
 +Farmacologia!$B$6
 +(FarmacologiaAvancadaCalculo!$A33)
 +(Farmacologia!$B$5-100)
 +(Farmacologia!$B$7*5)
 +(Farmacologia!$B$8*FarmacologiaAvancadaCalculo!B$1)</f>
        <v>640</v>
      </c>
      <c r="C33">
        <f>Farmacologia!$B$2
 +(Farmacologia!$B$3/2)
 +Farmacologia!$B$4
 +Farmacologia!$B$6
 +(FarmacologiaAvancadaCalculo!$A33)
 +(Farmacologia!$B$5-100)
 +(Farmacologia!$B$7*5)
 +(Farmacologia!$B$8*FarmacologiaAvancadaCalculo!C$1)</f>
        <v>645</v>
      </c>
      <c r="D33">
        <f>Farmacologia!$B$2
 +(Farmacologia!$B$3/2)
 +Farmacologia!$B$4
 +Farmacologia!$B$6
 +(FarmacologiaAvancadaCalculo!$A33)
 +(Farmacologia!$B$5-100)
 +(Farmacologia!$B$7*5)
 +(Farmacologia!$B$8*FarmacologiaAvancadaCalculo!D$1)</f>
        <v>650</v>
      </c>
      <c r="E33">
        <f>Farmacologia!$B$2
 +(Farmacologia!$B$3/2)
 +Farmacologia!$B$4
 +Farmacologia!$B$6
 +(FarmacologiaAvancadaCalculo!$A33)
 +(Farmacologia!$B$5-100)
 +(Farmacologia!$B$7*5)
 +(Farmacologia!$B$8*FarmacologiaAvancadaCalculo!E$1)</f>
        <v>655</v>
      </c>
      <c r="F33">
        <f>Farmacologia!$B$2
 +(Farmacologia!$B$3/2)
 +Farmacologia!$B$4
 +Farmacologia!$B$6
 +(FarmacologiaAvancadaCalculo!$A33)
 +(Farmacologia!$B$5-100)
 +(Farmacologia!$B$7*5)
 +(Farmacologia!$B$8*FarmacologiaAvancadaCalculo!F$1)</f>
        <v>660</v>
      </c>
      <c r="G33">
        <f>Farmacologia!$B$2
 +(Farmacologia!$B$3/2)
 +Farmacologia!$B$4
 +Farmacologia!$B$6
 +(FarmacologiaAvancadaCalculo!$A33)
 +(Farmacologia!$B$5-100)
 +(Farmacologia!$B$7*5)
 +(Farmacologia!$B$8*FarmacologiaAvancadaCalculo!G$1)</f>
        <v>665</v>
      </c>
      <c r="H33">
        <f>Farmacologia!$B$2
 +(Farmacologia!$B$3/2)
 +Farmacologia!$B$4
 +Farmacologia!$B$6
 +(FarmacologiaAvancadaCalculo!$A33)
 +(Farmacologia!$B$5-100)
 +(Farmacologia!$B$7*5)
 +(Farmacologia!$B$8*FarmacologiaAvancadaCalculo!H$1)</f>
        <v>670</v>
      </c>
      <c r="M33">
        <v>628</v>
      </c>
    </row>
    <row r="34" spans="1:13" x14ac:dyDescent="0.25">
      <c r="A34">
        <v>62</v>
      </c>
      <c r="B34">
        <f>Farmacologia!$B$2
 +(Farmacologia!$B$3/2)
 +Farmacologia!$B$4
 +Farmacologia!$B$6
 +(FarmacologiaAvancadaCalculo!$A34)
 +(Farmacologia!$B$5-100)
 +(Farmacologia!$B$7*5)
 +(Farmacologia!$B$8*FarmacologiaAvancadaCalculo!B$1)</f>
        <v>641</v>
      </c>
      <c r="C34">
        <f>Farmacologia!$B$2
 +(Farmacologia!$B$3/2)
 +Farmacologia!$B$4
 +Farmacologia!$B$6
 +(FarmacologiaAvancadaCalculo!$A34)
 +(Farmacologia!$B$5-100)
 +(Farmacologia!$B$7*5)
 +(Farmacologia!$B$8*FarmacologiaAvancadaCalculo!C$1)</f>
        <v>646</v>
      </c>
      <c r="D34">
        <f>Farmacologia!$B$2
 +(Farmacologia!$B$3/2)
 +Farmacologia!$B$4
 +Farmacologia!$B$6
 +(FarmacologiaAvancadaCalculo!$A34)
 +(Farmacologia!$B$5-100)
 +(Farmacologia!$B$7*5)
 +(Farmacologia!$B$8*FarmacologiaAvancadaCalculo!D$1)</f>
        <v>651</v>
      </c>
      <c r="E34">
        <f>Farmacologia!$B$2
 +(Farmacologia!$B$3/2)
 +Farmacologia!$B$4
 +Farmacologia!$B$6
 +(FarmacologiaAvancadaCalculo!$A34)
 +(Farmacologia!$B$5-100)
 +(Farmacologia!$B$7*5)
 +(Farmacologia!$B$8*FarmacologiaAvancadaCalculo!E$1)</f>
        <v>656</v>
      </c>
      <c r="F34">
        <f>Farmacologia!$B$2
 +(Farmacologia!$B$3/2)
 +Farmacologia!$B$4
 +Farmacologia!$B$6
 +(FarmacologiaAvancadaCalculo!$A34)
 +(Farmacologia!$B$5-100)
 +(Farmacologia!$B$7*5)
 +(Farmacologia!$B$8*FarmacologiaAvancadaCalculo!F$1)</f>
        <v>661</v>
      </c>
      <c r="G34">
        <f>Farmacologia!$B$2
 +(Farmacologia!$B$3/2)
 +Farmacologia!$B$4
 +Farmacologia!$B$6
 +(FarmacologiaAvancadaCalculo!$A34)
 +(Farmacologia!$B$5-100)
 +(Farmacologia!$B$7*5)
 +(Farmacologia!$B$8*FarmacologiaAvancadaCalculo!G$1)</f>
        <v>666</v>
      </c>
      <c r="H34">
        <f>Farmacologia!$B$2
 +(Farmacologia!$B$3/2)
 +Farmacologia!$B$4
 +Farmacologia!$B$6
 +(FarmacologiaAvancadaCalculo!$A34)
 +(Farmacologia!$B$5-100)
 +(Farmacologia!$B$7*5)
 +(Farmacologia!$B$8*FarmacologiaAvancadaCalculo!H$1)</f>
        <v>671</v>
      </c>
      <c r="M34">
        <v>633</v>
      </c>
    </row>
    <row r="35" spans="1:13" x14ac:dyDescent="0.25">
      <c r="A35">
        <v>63</v>
      </c>
      <c r="B35">
        <f>Farmacologia!$B$2
 +(Farmacologia!$B$3/2)
 +Farmacologia!$B$4
 +Farmacologia!$B$6
 +(FarmacologiaAvancadaCalculo!$A35)
 +(Farmacologia!$B$5-100)
 +(Farmacologia!$B$7*5)
 +(Farmacologia!$B$8*FarmacologiaAvancadaCalculo!B$1)</f>
        <v>642</v>
      </c>
      <c r="C35">
        <f>Farmacologia!$B$2
 +(Farmacologia!$B$3/2)
 +Farmacologia!$B$4
 +Farmacologia!$B$6
 +(FarmacologiaAvancadaCalculo!$A35)
 +(Farmacologia!$B$5-100)
 +(Farmacologia!$B$7*5)
 +(Farmacologia!$B$8*FarmacologiaAvancadaCalculo!C$1)</f>
        <v>647</v>
      </c>
      <c r="D35">
        <f>Farmacologia!$B$2
 +(Farmacologia!$B$3/2)
 +Farmacologia!$B$4
 +Farmacologia!$B$6
 +(FarmacologiaAvancadaCalculo!$A35)
 +(Farmacologia!$B$5-100)
 +(Farmacologia!$B$7*5)
 +(Farmacologia!$B$8*FarmacologiaAvancadaCalculo!D$1)</f>
        <v>652</v>
      </c>
      <c r="E35">
        <f>Farmacologia!$B$2
 +(Farmacologia!$B$3/2)
 +Farmacologia!$B$4
 +Farmacologia!$B$6
 +(FarmacologiaAvancadaCalculo!$A35)
 +(Farmacologia!$B$5-100)
 +(Farmacologia!$B$7*5)
 +(Farmacologia!$B$8*FarmacologiaAvancadaCalculo!E$1)</f>
        <v>657</v>
      </c>
      <c r="F35">
        <f>Farmacologia!$B$2
 +(Farmacologia!$B$3/2)
 +Farmacologia!$B$4
 +Farmacologia!$B$6
 +(FarmacologiaAvancadaCalculo!$A35)
 +(Farmacologia!$B$5-100)
 +(Farmacologia!$B$7*5)
 +(Farmacologia!$B$8*FarmacologiaAvancadaCalculo!F$1)</f>
        <v>662</v>
      </c>
      <c r="G35">
        <f>Farmacologia!$B$2
 +(Farmacologia!$B$3/2)
 +Farmacologia!$B$4
 +Farmacologia!$B$6
 +(FarmacologiaAvancadaCalculo!$A35)
 +(Farmacologia!$B$5-100)
 +(Farmacologia!$B$7*5)
 +(Farmacologia!$B$8*FarmacologiaAvancadaCalculo!G$1)</f>
        <v>667</v>
      </c>
      <c r="H35">
        <f>Farmacologia!$B$2
 +(Farmacologia!$B$3/2)
 +Farmacologia!$B$4
 +Farmacologia!$B$6
 +(FarmacologiaAvancadaCalculo!$A35)
 +(Farmacologia!$B$5-100)
 +(Farmacologia!$B$7*5)
 +(Farmacologia!$B$8*FarmacologiaAvancadaCalculo!H$1)</f>
        <v>672</v>
      </c>
      <c r="M35">
        <v>638</v>
      </c>
    </row>
    <row r="36" spans="1:13" x14ac:dyDescent="0.25">
      <c r="A36">
        <v>64</v>
      </c>
      <c r="B36">
        <f>Farmacologia!$B$2
 +(Farmacologia!$B$3/2)
 +Farmacologia!$B$4
 +Farmacologia!$B$6
 +(FarmacologiaAvancadaCalculo!$A36)
 +(Farmacologia!$B$5-100)
 +(Farmacologia!$B$7*5)
 +(Farmacologia!$B$8*FarmacologiaAvancadaCalculo!B$1)</f>
        <v>643</v>
      </c>
      <c r="C36">
        <f>Farmacologia!$B$2
 +(Farmacologia!$B$3/2)
 +Farmacologia!$B$4
 +Farmacologia!$B$6
 +(FarmacologiaAvancadaCalculo!$A36)
 +(Farmacologia!$B$5-100)
 +(Farmacologia!$B$7*5)
 +(Farmacologia!$B$8*FarmacologiaAvancadaCalculo!C$1)</f>
        <v>648</v>
      </c>
      <c r="D36">
        <f>Farmacologia!$B$2
 +(Farmacologia!$B$3/2)
 +Farmacologia!$B$4
 +Farmacologia!$B$6
 +(FarmacologiaAvancadaCalculo!$A36)
 +(Farmacologia!$B$5-100)
 +(Farmacologia!$B$7*5)
 +(Farmacologia!$B$8*FarmacologiaAvancadaCalculo!D$1)</f>
        <v>653</v>
      </c>
      <c r="E36">
        <f>Farmacologia!$B$2
 +(Farmacologia!$B$3/2)
 +Farmacologia!$B$4
 +Farmacologia!$B$6
 +(FarmacologiaAvancadaCalculo!$A36)
 +(Farmacologia!$B$5-100)
 +(Farmacologia!$B$7*5)
 +(Farmacologia!$B$8*FarmacologiaAvancadaCalculo!E$1)</f>
        <v>658</v>
      </c>
      <c r="F36">
        <f>Farmacologia!$B$2
 +(Farmacologia!$B$3/2)
 +Farmacologia!$B$4
 +Farmacologia!$B$6
 +(FarmacologiaAvancadaCalculo!$A36)
 +(Farmacologia!$B$5-100)
 +(Farmacologia!$B$7*5)
 +(Farmacologia!$B$8*FarmacologiaAvancadaCalculo!F$1)</f>
        <v>663</v>
      </c>
      <c r="G36">
        <f>Farmacologia!$B$2
 +(Farmacologia!$B$3/2)
 +Farmacologia!$B$4
 +Farmacologia!$B$6
 +(FarmacologiaAvancadaCalculo!$A36)
 +(Farmacologia!$B$5-100)
 +(Farmacologia!$B$7*5)
 +(Farmacologia!$B$8*FarmacologiaAvancadaCalculo!G$1)</f>
        <v>668</v>
      </c>
      <c r="H36">
        <f>Farmacologia!$B$2
 +(Farmacologia!$B$3/2)
 +Farmacologia!$B$4
 +Farmacologia!$B$6
 +(FarmacologiaAvancadaCalculo!$A36)
 +(Farmacologia!$B$5-100)
 +(Farmacologia!$B$7*5)
 +(Farmacologia!$B$8*FarmacologiaAvancadaCalculo!H$1)</f>
        <v>673</v>
      </c>
      <c r="M36">
        <v>643</v>
      </c>
    </row>
    <row r="37" spans="1:13" x14ac:dyDescent="0.25">
      <c r="A37">
        <v>65</v>
      </c>
      <c r="B37">
        <f>Farmacologia!$B$2
 +(Farmacologia!$B$3/2)
 +Farmacologia!$B$4
 +Farmacologia!$B$6
 +(FarmacologiaAvancadaCalculo!$A37)
 +(Farmacologia!$B$5-100)
 +(Farmacologia!$B$7*5)
 +(Farmacologia!$B$8*FarmacologiaAvancadaCalculo!B$1)</f>
        <v>644</v>
      </c>
      <c r="C37">
        <f>Farmacologia!$B$2
 +(Farmacologia!$B$3/2)
 +Farmacologia!$B$4
 +Farmacologia!$B$6
 +(FarmacologiaAvancadaCalculo!$A37)
 +(Farmacologia!$B$5-100)
 +(Farmacologia!$B$7*5)
 +(Farmacologia!$B$8*FarmacologiaAvancadaCalculo!C$1)</f>
        <v>649</v>
      </c>
      <c r="D37">
        <f>Farmacologia!$B$2
 +(Farmacologia!$B$3/2)
 +Farmacologia!$B$4
 +Farmacologia!$B$6
 +(FarmacologiaAvancadaCalculo!$A37)
 +(Farmacologia!$B$5-100)
 +(Farmacologia!$B$7*5)
 +(Farmacologia!$B$8*FarmacologiaAvancadaCalculo!D$1)</f>
        <v>654</v>
      </c>
      <c r="E37">
        <f>Farmacologia!$B$2
 +(Farmacologia!$B$3/2)
 +Farmacologia!$B$4
 +Farmacologia!$B$6
 +(FarmacologiaAvancadaCalculo!$A37)
 +(Farmacologia!$B$5-100)
 +(Farmacologia!$B$7*5)
 +(Farmacologia!$B$8*FarmacologiaAvancadaCalculo!E$1)</f>
        <v>659</v>
      </c>
      <c r="F37">
        <f>Farmacologia!$B$2
 +(Farmacologia!$B$3/2)
 +Farmacologia!$B$4
 +Farmacologia!$B$6
 +(FarmacologiaAvancadaCalculo!$A37)
 +(Farmacologia!$B$5-100)
 +(Farmacologia!$B$7*5)
 +(Farmacologia!$B$8*FarmacologiaAvancadaCalculo!F$1)</f>
        <v>664</v>
      </c>
      <c r="G37">
        <f>Farmacologia!$B$2
 +(Farmacologia!$B$3/2)
 +Farmacologia!$B$4
 +Farmacologia!$B$6
 +(FarmacologiaAvancadaCalculo!$A37)
 +(Farmacologia!$B$5-100)
 +(Farmacologia!$B$7*5)
 +(Farmacologia!$B$8*FarmacologiaAvancadaCalculo!G$1)</f>
        <v>669</v>
      </c>
      <c r="H37">
        <f>Farmacologia!$B$2
 +(Farmacologia!$B$3/2)
 +Farmacologia!$B$4
 +Farmacologia!$B$6
 +(FarmacologiaAvancadaCalculo!$A37)
 +(Farmacologia!$B$5-100)
 +(Farmacologia!$B$7*5)
 +(Farmacologia!$B$8*FarmacologiaAvancadaCalculo!H$1)</f>
        <v>674</v>
      </c>
      <c r="M37">
        <v>614</v>
      </c>
    </row>
    <row r="38" spans="1:13" x14ac:dyDescent="0.25">
      <c r="A38">
        <v>66</v>
      </c>
      <c r="B38">
        <f>Farmacologia!$B$2
 +(Farmacologia!$B$3/2)
 +Farmacologia!$B$4
 +Farmacologia!$B$6
 +(FarmacologiaAvancadaCalculo!$A38)
 +(Farmacologia!$B$5-100)
 +(Farmacologia!$B$7*5)
 +(Farmacologia!$B$8*FarmacologiaAvancadaCalculo!B$1)</f>
        <v>645</v>
      </c>
      <c r="C38">
        <f>Farmacologia!$B$2
 +(Farmacologia!$B$3/2)
 +Farmacologia!$B$4
 +Farmacologia!$B$6
 +(FarmacologiaAvancadaCalculo!$A38)
 +(Farmacologia!$B$5-100)
 +(Farmacologia!$B$7*5)
 +(Farmacologia!$B$8*FarmacologiaAvancadaCalculo!C$1)</f>
        <v>650</v>
      </c>
      <c r="D38">
        <f>Farmacologia!$B$2
 +(Farmacologia!$B$3/2)
 +Farmacologia!$B$4
 +Farmacologia!$B$6
 +(FarmacologiaAvancadaCalculo!$A38)
 +(Farmacologia!$B$5-100)
 +(Farmacologia!$B$7*5)
 +(Farmacologia!$B$8*FarmacologiaAvancadaCalculo!D$1)</f>
        <v>655</v>
      </c>
      <c r="E38">
        <f>Farmacologia!$B$2
 +(Farmacologia!$B$3/2)
 +Farmacologia!$B$4
 +Farmacologia!$B$6
 +(FarmacologiaAvancadaCalculo!$A38)
 +(Farmacologia!$B$5-100)
 +(Farmacologia!$B$7*5)
 +(Farmacologia!$B$8*FarmacologiaAvancadaCalculo!E$1)</f>
        <v>660</v>
      </c>
      <c r="F38">
        <f>Farmacologia!$B$2
 +(Farmacologia!$B$3/2)
 +Farmacologia!$B$4
 +Farmacologia!$B$6
 +(FarmacologiaAvancadaCalculo!$A38)
 +(Farmacologia!$B$5-100)
 +(Farmacologia!$B$7*5)
 +(Farmacologia!$B$8*FarmacologiaAvancadaCalculo!F$1)</f>
        <v>665</v>
      </c>
      <c r="G38">
        <f>Farmacologia!$B$2
 +(Farmacologia!$B$3/2)
 +Farmacologia!$B$4
 +Farmacologia!$B$6
 +(FarmacologiaAvancadaCalculo!$A38)
 +(Farmacologia!$B$5-100)
 +(Farmacologia!$B$7*5)
 +(Farmacologia!$B$8*FarmacologiaAvancadaCalculo!G$1)</f>
        <v>670</v>
      </c>
      <c r="H38">
        <f>Farmacologia!$B$2
 +(Farmacologia!$B$3/2)
 +Farmacologia!$B$4
 +Farmacologia!$B$6
 +(FarmacologiaAvancadaCalculo!$A38)
 +(Farmacologia!$B$5-100)
 +(Farmacologia!$B$7*5)
 +(Farmacologia!$B$8*FarmacologiaAvancadaCalculo!H$1)</f>
        <v>675</v>
      </c>
      <c r="M38">
        <v>619</v>
      </c>
    </row>
    <row r="39" spans="1:13" x14ac:dyDescent="0.25">
      <c r="A39">
        <v>67</v>
      </c>
      <c r="B39">
        <f>Farmacologia!$B$2
 +(Farmacologia!$B$3/2)
 +Farmacologia!$B$4
 +Farmacologia!$B$6
 +(FarmacologiaAvancadaCalculo!$A39)
 +(Farmacologia!$B$5-100)
 +(Farmacologia!$B$7*5)
 +(Farmacologia!$B$8*FarmacologiaAvancadaCalculo!B$1)</f>
        <v>646</v>
      </c>
      <c r="C39">
        <f>Farmacologia!$B$2
 +(Farmacologia!$B$3/2)
 +Farmacologia!$B$4
 +Farmacologia!$B$6
 +(FarmacologiaAvancadaCalculo!$A39)
 +(Farmacologia!$B$5-100)
 +(Farmacologia!$B$7*5)
 +(Farmacologia!$B$8*FarmacologiaAvancadaCalculo!C$1)</f>
        <v>651</v>
      </c>
      <c r="D39">
        <f>Farmacologia!$B$2
 +(Farmacologia!$B$3/2)
 +Farmacologia!$B$4
 +Farmacologia!$B$6
 +(FarmacologiaAvancadaCalculo!$A39)
 +(Farmacologia!$B$5-100)
 +(Farmacologia!$B$7*5)
 +(Farmacologia!$B$8*FarmacologiaAvancadaCalculo!D$1)</f>
        <v>656</v>
      </c>
      <c r="E39">
        <f>Farmacologia!$B$2
 +(Farmacologia!$B$3/2)
 +Farmacologia!$B$4
 +Farmacologia!$B$6
 +(FarmacologiaAvancadaCalculo!$A39)
 +(Farmacologia!$B$5-100)
 +(Farmacologia!$B$7*5)
 +(Farmacologia!$B$8*FarmacologiaAvancadaCalculo!E$1)</f>
        <v>661</v>
      </c>
      <c r="F39">
        <f>Farmacologia!$B$2
 +(Farmacologia!$B$3/2)
 +Farmacologia!$B$4
 +Farmacologia!$B$6
 +(FarmacologiaAvancadaCalculo!$A39)
 +(Farmacologia!$B$5-100)
 +(Farmacologia!$B$7*5)
 +(Farmacologia!$B$8*FarmacologiaAvancadaCalculo!F$1)</f>
        <v>666</v>
      </c>
      <c r="G39">
        <f>Farmacologia!$B$2
 +(Farmacologia!$B$3/2)
 +Farmacologia!$B$4
 +Farmacologia!$B$6
 +(FarmacologiaAvancadaCalculo!$A39)
 +(Farmacologia!$B$5-100)
 +(Farmacologia!$B$7*5)
 +(Farmacologia!$B$8*FarmacologiaAvancadaCalculo!G$1)</f>
        <v>671</v>
      </c>
      <c r="H39">
        <f>Farmacologia!$B$2
 +(Farmacologia!$B$3/2)
 +Farmacologia!$B$4
 +Farmacologia!$B$6
 +(FarmacologiaAvancadaCalculo!$A39)
 +(Farmacologia!$B$5-100)
 +(Farmacologia!$B$7*5)
 +(Farmacologia!$B$8*FarmacologiaAvancadaCalculo!H$1)</f>
        <v>676</v>
      </c>
      <c r="M39">
        <v>624</v>
      </c>
    </row>
    <row r="40" spans="1:13" x14ac:dyDescent="0.25">
      <c r="A40">
        <v>68</v>
      </c>
      <c r="B40">
        <f>Farmacologia!$B$2
 +(Farmacologia!$B$3/2)
 +Farmacologia!$B$4
 +Farmacologia!$B$6
 +(FarmacologiaAvancadaCalculo!$A40)
 +(Farmacologia!$B$5-100)
 +(Farmacologia!$B$7*5)
 +(Farmacologia!$B$8*FarmacologiaAvancadaCalculo!B$1)</f>
        <v>647</v>
      </c>
      <c r="C40">
        <f>Farmacologia!$B$2
 +(Farmacologia!$B$3/2)
 +Farmacologia!$B$4
 +Farmacologia!$B$6
 +(FarmacologiaAvancadaCalculo!$A40)
 +(Farmacologia!$B$5-100)
 +(Farmacologia!$B$7*5)
 +(Farmacologia!$B$8*FarmacologiaAvancadaCalculo!C$1)</f>
        <v>652</v>
      </c>
      <c r="D40">
        <f>Farmacologia!$B$2
 +(Farmacologia!$B$3/2)
 +Farmacologia!$B$4
 +Farmacologia!$B$6
 +(FarmacologiaAvancadaCalculo!$A40)
 +(Farmacologia!$B$5-100)
 +(Farmacologia!$B$7*5)
 +(Farmacologia!$B$8*FarmacologiaAvancadaCalculo!D$1)</f>
        <v>657</v>
      </c>
      <c r="E40">
        <f>Farmacologia!$B$2
 +(Farmacologia!$B$3/2)
 +Farmacologia!$B$4
 +Farmacologia!$B$6
 +(FarmacologiaAvancadaCalculo!$A40)
 +(Farmacologia!$B$5-100)
 +(Farmacologia!$B$7*5)
 +(Farmacologia!$B$8*FarmacologiaAvancadaCalculo!E$1)</f>
        <v>662</v>
      </c>
      <c r="F40">
        <f>Farmacologia!$B$2
 +(Farmacologia!$B$3/2)
 +Farmacologia!$B$4
 +Farmacologia!$B$6
 +(FarmacologiaAvancadaCalculo!$A40)
 +(Farmacologia!$B$5-100)
 +(Farmacologia!$B$7*5)
 +(Farmacologia!$B$8*FarmacologiaAvancadaCalculo!F$1)</f>
        <v>667</v>
      </c>
      <c r="G40">
        <f>Farmacologia!$B$2
 +(Farmacologia!$B$3/2)
 +Farmacologia!$B$4
 +Farmacologia!$B$6
 +(FarmacologiaAvancadaCalculo!$A40)
 +(Farmacologia!$B$5-100)
 +(Farmacologia!$B$7*5)
 +(Farmacologia!$B$8*FarmacologiaAvancadaCalculo!G$1)</f>
        <v>672</v>
      </c>
      <c r="H40">
        <f>Farmacologia!$B$2
 +(Farmacologia!$B$3/2)
 +Farmacologia!$B$4
 +Farmacologia!$B$6
 +(FarmacologiaAvancadaCalculo!$A40)
 +(Farmacologia!$B$5-100)
 +(Farmacologia!$B$7*5)
 +(Farmacologia!$B$8*FarmacologiaAvancadaCalculo!H$1)</f>
        <v>677</v>
      </c>
      <c r="M40">
        <v>629</v>
      </c>
    </row>
    <row r="41" spans="1:13" x14ac:dyDescent="0.25">
      <c r="A41">
        <v>69</v>
      </c>
      <c r="B41">
        <f>Farmacologia!$B$2
 +(Farmacologia!$B$3/2)
 +Farmacologia!$B$4
 +Farmacologia!$B$6
 +(FarmacologiaAvancadaCalculo!$A41)
 +(Farmacologia!$B$5-100)
 +(Farmacologia!$B$7*5)
 +(Farmacologia!$B$8*FarmacologiaAvancadaCalculo!B$1)</f>
        <v>648</v>
      </c>
      <c r="C41">
        <f>Farmacologia!$B$2
 +(Farmacologia!$B$3/2)
 +Farmacologia!$B$4
 +Farmacologia!$B$6
 +(FarmacologiaAvancadaCalculo!$A41)
 +(Farmacologia!$B$5-100)
 +(Farmacologia!$B$7*5)
 +(Farmacologia!$B$8*FarmacologiaAvancadaCalculo!C$1)</f>
        <v>653</v>
      </c>
      <c r="D41">
        <f>Farmacologia!$B$2
 +(Farmacologia!$B$3/2)
 +Farmacologia!$B$4
 +Farmacologia!$B$6
 +(FarmacologiaAvancadaCalculo!$A41)
 +(Farmacologia!$B$5-100)
 +(Farmacologia!$B$7*5)
 +(Farmacologia!$B$8*FarmacologiaAvancadaCalculo!D$1)</f>
        <v>658</v>
      </c>
      <c r="E41">
        <f>Farmacologia!$B$2
 +(Farmacologia!$B$3/2)
 +Farmacologia!$B$4
 +Farmacologia!$B$6
 +(FarmacologiaAvancadaCalculo!$A41)
 +(Farmacologia!$B$5-100)
 +(Farmacologia!$B$7*5)
 +(Farmacologia!$B$8*FarmacologiaAvancadaCalculo!E$1)</f>
        <v>663</v>
      </c>
      <c r="F41">
        <f>Farmacologia!$B$2
 +(Farmacologia!$B$3/2)
 +Farmacologia!$B$4
 +Farmacologia!$B$6
 +(FarmacologiaAvancadaCalculo!$A41)
 +(Farmacologia!$B$5-100)
 +(Farmacologia!$B$7*5)
 +(Farmacologia!$B$8*FarmacologiaAvancadaCalculo!F$1)</f>
        <v>668</v>
      </c>
      <c r="G41">
        <f>Farmacologia!$B$2
 +(Farmacologia!$B$3/2)
 +Farmacologia!$B$4
 +Farmacologia!$B$6
 +(FarmacologiaAvancadaCalculo!$A41)
 +(Farmacologia!$B$5-100)
 +(Farmacologia!$B$7*5)
 +(Farmacologia!$B$8*FarmacologiaAvancadaCalculo!G$1)</f>
        <v>673</v>
      </c>
      <c r="H41">
        <f>Farmacologia!$B$2
 +(Farmacologia!$B$3/2)
 +Farmacologia!$B$4
 +Farmacologia!$B$6
 +(FarmacologiaAvancadaCalculo!$A41)
 +(Farmacologia!$B$5-100)
 +(Farmacologia!$B$7*5)
 +(Farmacologia!$B$8*FarmacologiaAvancadaCalculo!H$1)</f>
        <v>678</v>
      </c>
      <c r="M41">
        <v>634</v>
      </c>
    </row>
    <row r="42" spans="1:13" x14ac:dyDescent="0.25">
      <c r="A42">
        <v>70</v>
      </c>
      <c r="B42">
        <f>Farmacologia!$B$2
 +(Farmacologia!$B$3/2)
 +Farmacologia!$B$4
 +Farmacologia!$B$6
 +(FarmacologiaAvancadaCalculo!$A42)
 +(Farmacologia!$B$5-100)
 +(Farmacologia!$B$7*5)
 +(Farmacologia!$B$8*FarmacologiaAvancadaCalculo!B$1)</f>
        <v>649</v>
      </c>
      <c r="C42">
        <f>Farmacologia!$B$2
 +(Farmacologia!$B$3/2)
 +Farmacologia!$B$4
 +Farmacologia!$B$6
 +(FarmacologiaAvancadaCalculo!$A42)
 +(Farmacologia!$B$5-100)
 +(Farmacologia!$B$7*5)
 +(Farmacologia!$B$8*FarmacologiaAvancadaCalculo!C$1)</f>
        <v>654</v>
      </c>
      <c r="D42">
        <f>Farmacologia!$B$2
 +(Farmacologia!$B$3/2)
 +Farmacologia!$B$4
 +Farmacologia!$B$6
 +(FarmacologiaAvancadaCalculo!$A42)
 +(Farmacologia!$B$5-100)
 +(Farmacologia!$B$7*5)
 +(Farmacologia!$B$8*FarmacologiaAvancadaCalculo!D$1)</f>
        <v>659</v>
      </c>
      <c r="E42">
        <f>Farmacologia!$B$2
 +(Farmacologia!$B$3/2)
 +Farmacologia!$B$4
 +Farmacologia!$B$6
 +(FarmacologiaAvancadaCalculo!$A42)
 +(Farmacologia!$B$5-100)
 +(Farmacologia!$B$7*5)
 +(Farmacologia!$B$8*FarmacologiaAvancadaCalculo!E$1)</f>
        <v>664</v>
      </c>
      <c r="F42">
        <f>Farmacologia!$B$2
 +(Farmacologia!$B$3/2)
 +Farmacologia!$B$4
 +Farmacologia!$B$6
 +(FarmacologiaAvancadaCalculo!$A42)
 +(Farmacologia!$B$5-100)
 +(Farmacologia!$B$7*5)
 +(Farmacologia!$B$8*FarmacologiaAvancadaCalculo!F$1)</f>
        <v>669</v>
      </c>
      <c r="G42">
        <f>Farmacologia!$B$2
 +(Farmacologia!$B$3/2)
 +Farmacologia!$B$4
 +Farmacologia!$B$6
 +(FarmacologiaAvancadaCalculo!$A42)
 +(Farmacologia!$B$5-100)
 +(Farmacologia!$B$7*5)
 +(Farmacologia!$B$8*FarmacologiaAvancadaCalculo!G$1)</f>
        <v>674</v>
      </c>
      <c r="H42">
        <f>Farmacologia!$B$2
 +(Farmacologia!$B$3/2)
 +Farmacologia!$B$4
 +Farmacologia!$B$6
 +(FarmacologiaAvancadaCalculo!$A42)
 +(Farmacologia!$B$5-100)
 +(Farmacologia!$B$7*5)
 +(Farmacologia!$B$8*FarmacologiaAvancadaCalculo!H$1)</f>
        <v>679</v>
      </c>
      <c r="M42">
        <v>639</v>
      </c>
    </row>
    <row r="43" spans="1:13" x14ac:dyDescent="0.25">
      <c r="A43">
        <v>71</v>
      </c>
      <c r="B43">
        <f>Farmacologia!$B$2
 +(Farmacologia!$B$3/2)
 +Farmacologia!$B$4
 +Farmacologia!$B$6
 +(FarmacologiaAvancadaCalculo!$A43)
 +(Farmacologia!$B$5-100)
 +(Farmacologia!$B$7*5)
 +(Farmacologia!$B$8*FarmacologiaAvancadaCalculo!B$1)</f>
        <v>650</v>
      </c>
      <c r="C43">
        <f>Farmacologia!$B$2
 +(Farmacologia!$B$3/2)
 +Farmacologia!$B$4
 +Farmacologia!$B$6
 +(FarmacologiaAvancadaCalculo!$A43)
 +(Farmacologia!$B$5-100)
 +(Farmacologia!$B$7*5)
 +(Farmacologia!$B$8*FarmacologiaAvancadaCalculo!C$1)</f>
        <v>655</v>
      </c>
      <c r="D43">
        <f>Farmacologia!$B$2
 +(Farmacologia!$B$3/2)
 +Farmacologia!$B$4
 +Farmacologia!$B$6
 +(FarmacologiaAvancadaCalculo!$A43)
 +(Farmacologia!$B$5-100)
 +(Farmacologia!$B$7*5)
 +(Farmacologia!$B$8*FarmacologiaAvancadaCalculo!D$1)</f>
        <v>660</v>
      </c>
      <c r="E43">
        <f>Farmacologia!$B$2
 +(Farmacologia!$B$3/2)
 +Farmacologia!$B$4
 +Farmacologia!$B$6
 +(FarmacologiaAvancadaCalculo!$A43)
 +(Farmacologia!$B$5-100)
 +(Farmacologia!$B$7*5)
 +(Farmacologia!$B$8*FarmacologiaAvancadaCalculo!E$1)</f>
        <v>665</v>
      </c>
      <c r="F43">
        <f>Farmacologia!$B$2
 +(Farmacologia!$B$3/2)
 +Farmacologia!$B$4
 +Farmacologia!$B$6
 +(FarmacologiaAvancadaCalculo!$A43)
 +(Farmacologia!$B$5-100)
 +(Farmacologia!$B$7*5)
 +(Farmacologia!$B$8*FarmacologiaAvancadaCalculo!F$1)</f>
        <v>670</v>
      </c>
      <c r="G43">
        <f>Farmacologia!$B$2
 +(Farmacologia!$B$3/2)
 +Farmacologia!$B$4
 +Farmacologia!$B$6
 +(FarmacologiaAvancadaCalculo!$A43)
 +(Farmacologia!$B$5-100)
 +(Farmacologia!$B$7*5)
 +(Farmacologia!$B$8*FarmacologiaAvancadaCalculo!G$1)</f>
        <v>675</v>
      </c>
      <c r="H43">
        <f>Farmacologia!$B$2
 +(Farmacologia!$B$3/2)
 +Farmacologia!$B$4
 +Farmacologia!$B$6
 +(FarmacologiaAvancadaCalculo!$A43)
 +(Farmacologia!$B$5-100)
 +(Farmacologia!$B$7*5)
 +(Farmacologia!$B$8*FarmacologiaAvancadaCalculo!H$1)</f>
        <v>680</v>
      </c>
      <c r="M43">
        <v>644</v>
      </c>
    </row>
    <row r="44" spans="1:13" x14ac:dyDescent="0.25">
      <c r="A44">
        <v>72</v>
      </c>
      <c r="B44">
        <f>Farmacologia!$B$2
 +(Farmacologia!$B$3/2)
 +Farmacologia!$B$4
 +Farmacologia!$B$6
 +(FarmacologiaAvancadaCalculo!$A44)
 +(Farmacologia!$B$5-100)
 +(Farmacologia!$B$7*5)
 +(Farmacologia!$B$8*FarmacologiaAvancadaCalculo!B$1)</f>
        <v>651</v>
      </c>
      <c r="C44">
        <f>Farmacologia!$B$2
 +(Farmacologia!$B$3/2)
 +Farmacologia!$B$4
 +Farmacologia!$B$6
 +(FarmacologiaAvancadaCalculo!$A44)
 +(Farmacologia!$B$5-100)
 +(Farmacologia!$B$7*5)
 +(Farmacologia!$B$8*FarmacologiaAvancadaCalculo!C$1)</f>
        <v>656</v>
      </c>
      <c r="D44">
        <f>Farmacologia!$B$2
 +(Farmacologia!$B$3/2)
 +Farmacologia!$B$4
 +Farmacologia!$B$6
 +(FarmacologiaAvancadaCalculo!$A44)
 +(Farmacologia!$B$5-100)
 +(Farmacologia!$B$7*5)
 +(Farmacologia!$B$8*FarmacologiaAvancadaCalculo!D$1)</f>
        <v>661</v>
      </c>
      <c r="E44">
        <f>Farmacologia!$B$2
 +(Farmacologia!$B$3/2)
 +Farmacologia!$B$4
 +Farmacologia!$B$6
 +(FarmacologiaAvancadaCalculo!$A44)
 +(Farmacologia!$B$5-100)
 +(Farmacologia!$B$7*5)
 +(Farmacologia!$B$8*FarmacologiaAvancadaCalculo!E$1)</f>
        <v>666</v>
      </c>
      <c r="F44">
        <f>Farmacologia!$B$2
 +(Farmacologia!$B$3/2)
 +Farmacologia!$B$4
 +Farmacologia!$B$6
 +(FarmacologiaAvancadaCalculo!$A44)
 +(Farmacologia!$B$5-100)
 +(Farmacologia!$B$7*5)
 +(Farmacologia!$B$8*FarmacologiaAvancadaCalculo!F$1)</f>
        <v>671</v>
      </c>
      <c r="G44">
        <f>Farmacologia!$B$2
 +(Farmacologia!$B$3/2)
 +Farmacologia!$B$4
 +Farmacologia!$B$6
 +(FarmacologiaAvancadaCalculo!$A44)
 +(Farmacologia!$B$5-100)
 +(Farmacologia!$B$7*5)
 +(Farmacologia!$B$8*FarmacologiaAvancadaCalculo!G$1)</f>
        <v>676</v>
      </c>
      <c r="H44">
        <f>Farmacologia!$B$2
 +(Farmacologia!$B$3/2)
 +Farmacologia!$B$4
 +Farmacologia!$B$6
 +(FarmacologiaAvancadaCalculo!$A44)
 +(Farmacologia!$B$5-100)
 +(Farmacologia!$B$7*5)
 +(Farmacologia!$B$8*FarmacologiaAvancadaCalculo!H$1)</f>
        <v>681</v>
      </c>
      <c r="M44">
        <v>615</v>
      </c>
    </row>
    <row r="45" spans="1:13" x14ac:dyDescent="0.25">
      <c r="A45">
        <v>73</v>
      </c>
      <c r="B45">
        <f>Farmacologia!$B$2
 +(Farmacologia!$B$3/2)
 +Farmacologia!$B$4
 +Farmacologia!$B$6
 +(FarmacologiaAvancadaCalculo!$A45)
 +(Farmacologia!$B$5-100)
 +(Farmacologia!$B$7*5)
 +(Farmacologia!$B$8*FarmacologiaAvancadaCalculo!B$1)</f>
        <v>652</v>
      </c>
      <c r="C45">
        <f>Farmacologia!$B$2
 +(Farmacologia!$B$3/2)
 +Farmacologia!$B$4
 +Farmacologia!$B$6
 +(FarmacologiaAvancadaCalculo!$A45)
 +(Farmacologia!$B$5-100)
 +(Farmacologia!$B$7*5)
 +(Farmacologia!$B$8*FarmacologiaAvancadaCalculo!C$1)</f>
        <v>657</v>
      </c>
      <c r="D45">
        <f>Farmacologia!$B$2
 +(Farmacologia!$B$3/2)
 +Farmacologia!$B$4
 +Farmacologia!$B$6
 +(FarmacologiaAvancadaCalculo!$A45)
 +(Farmacologia!$B$5-100)
 +(Farmacologia!$B$7*5)
 +(Farmacologia!$B$8*FarmacologiaAvancadaCalculo!D$1)</f>
        <v>662</v>
      </c>
      <c r="E45">
        <f>Farmacologia!$B$2
 +(Farmacologia!$B$3/2)
 +Farmacologia!$B$4
 +Farmacologia!$B$6
 +(FarmacologiaAvancadaCalculo!$A45)
 +(Farmacologia!$B$5-100)
 +(Farmacologia!$B$7*5)
 +(Farmacologia!$B$8*FarmacologiaAvancadaCalculo!E$1)</f>
        <v>667</v>
      </c>
      <c r="F45">
        <f>Farmacologia!$B$2
 +(Farmacologia!$B$3/2)
 +Farmacologia!$B$4
 +Farmacologia!$B$6
 +(FarmacologiaAvancadaCalculo!$A45)
 +(Farmacologia!$B$5-100)
 +(Farmacologia!$B$7*5)
 +(Farmacologia!$B$8*FarmacologiaAvancadaCalculo!F$1)</f>
        <v>672</v>
      </c>
      <c r="G45">
        <f>Farmacologia!$B$2
 +(Farmacologia!$B$3/2)
 +Farmacologia!$B$4
 +Farmacologia!$B$6
 +(FarmacologiaAvancadaCalculo!$A45)
 +(Farmacologia!$B$5-100)
 +(Farmacologia!$B$7*5)
 +(Farmacologia!$B$8*FarmacologiaAvancadaCalculo!G$1)</f>
        <v>677</v>
      </c>
      <c r="H45">
        <f>Farmacologia!$B$2
 +(Farmacologia!$B$3/2)
 +Farmacologia!$B$4
 +Farmacologia!$B$6
 +(FarmacologiaAvancadaCalculo!$A45)
 +(Farmacologia!$B$5-100)
 +(Farmacologia!$B$7*5)
 +(Farmacologia!$B$8*FarmacologiaAvancadaCalculo!H$1)</f>
        <v>682</v>
      </c>
      <c r="M45">
        <v>620</v>
      </c>
    </row>
    <row r="46" spans="1:13" x14ac:dyDescent="0.25">
      <c r="A46">
        <v>74</v>
      </c>
      <c r="B46">
        <f>Farmacologia!$B$2
 +(Farmacologia!$B$3/2)
 +Farmacologia!$B$4
 +Farmacologia!$B$6
 +(FarmacologiaAvancadaCalculo!$A46)
 +(Farmacologia!$B$5-100)
 +(Farmacologia!$B$7*5)
 +(Farmacologia!$B$8*FarmacologiaAvancadaCalculo!B$1)</f>
        <v>653</v>
      </c>
      <c r="C46">
        <f>Farmacologia!$B$2
 +(Farmacologia!$B$3/2)
 +Farmacologia!$B$4
 +Farmacologia!$B$6
 +(FarmacologiaAvancadaCalculo!$A46)
 +(Farmacologia!$B$5-100)
 +(Farmacologia!$B$7*5)
 +(Farmacologia!$B$8*FarmacologiaAvancadaCalculo!C$1)</f>
        <v>658</v>
      </c>
      <c r="D46">
        <f>Farmacologia!$B$2
 +(Farmacologia!$B$3/2)
 +Farmacologia!$B$4
 +Farmacologia!$B$6
 +(FarmacologiaAvancadaCalculo!$A46)
 +(Farmacologia!$B$5-100)
 +(Farmacologia!$B$7*5)
 +(Farmacologia!$B$8*FarmacologiaAvancadaCalculo!D$1)</f>
        <v>663</v>
      </c>
      <c r="E46">
        <f>Farmacologia!$B$2
 +(Farmacologia!$B$3/2)
 +Farmacologia!$B$4
 +Farmacologia!$B$6
 +(FarmacologiaAvancadaCalculo!$A46)
 +(Farmacologia!$B$5-100)
 +(Farmacologia!$B$7*5)
 +(Farmacologia!$B$8*FarmacologiaAvancadaCalculo!E$1)</f>
        <v>668</v>
      </c>
      <c r="F46">
        <f>Farmacologia!$B$2
 +(Farmacologia!$B$3/2)
 +Farmacologia!$B$4
 +Farmacologia!$B$6
 +(FarmacologiaAvancadaCalculo!$A46)
 +(Farmacologia!$B$5-100)
 +(Farmacologia!$B$7*5)
 +(Farmacologia!$B$8*FarmacologiaAvancadaCalculo!F$1)</f>
        <v>673</v>
      </c>
      <c r="G46">
        <f>Farmacologia!$B$2
 +(Farmacologia!$B$3/2)
 +Farmacologia!$B$4
 +Farmacologia!$B$6
 +(FarmacologiaAvancadaCalculo!$A46)
 +(Farmacologia!$B$5-100)
 +(Farmacologia!$B$7*5)
 +(Farmacologia!$B$8*FarmacologiaAvancadaCalculo!G$1)</f>
        <v>678</v>
      </c>
      <c r="H46">
        <f>Farmacologia!$B$2
 +(Farmacologia!$B$3/2)
 +Farmacologia!$B$4
 +Farmacologia!$B$6
 +(FarmacologiaAvancadaCalculo!$A46)
 +(Farmacologia!$B$5-100)
 +(Farmacologia!$B$7*5)
 +(Farmacologia!$B$8*FarmacologiaAvancadaCalculo!H$1)</f>
        <v>683</v>
      </c>
      <c r="M46">
        <v>625</v>
      </c>
    </row>
    <row r="47" spans="1:13" x14ac:dyDescent="0.25">
      <c r="A47">
        <v>75</v>
      </c>
      <c r="B47">
        <f>Farmacologia!$B$2
 +(Farmacologia!$B$3/2)
 +Farmacologia!$B$4
 +Farmacologia!$B$6
 +(FarmacologiaAvancadaCalculo!$A47)
 +(Farmacologia!$B$5-100)
 +(Farmacologia!$B$7*5)
 +(Farmacologia!$B$8*FarmacologiaAvancadaCalculo!B$1)</f>
        <v>654</v>
      </c>
      <c r="C47">
        <f>Farmacologia!$B$2
 +(Farmacologia!$B$3/2)
 +Farmacologia!$B$4
 +Farmacologia!$B$6
 +(FarmacologiaAvancadaCalculo!$A47)
 +(Farmacologia!$B$5-100)
 +(Farmacologia!$B$7*5)
 +(Farmacologia!$B$8*FarmacologiaAvancadaCalculo!C$1)</f>
        <v>659</v>
      </c>
      <c r="D47">
        <f>Farmacologia!$B$2
 +(Farmacologia!$B$3/2)
 +Farmacologia!$B$4
 +Farmacologia!$B$6
 +(FarmacologiaAvancadaCalculo!$A47)
 +(Farmacologia!$B$5-100)
 +(Farmacologia!$B$7*5)
 +(Farmacologia!$B$8*FarmacologiaAvancadaCalculo!D$1)</f>
        <v>664</v>
      </c>
      <c r="E47">
        <f>Farmacologia!$B$2
 +(Farmacologia!$B$3/2)
 +Farmacologia!$B$4
 +Farmacologia!$B$6
 +(FarmacologiaAvancadaCalculo!$A47)
 +(Farmacologia!$B$5-100)
 +(Farmacologia!$B$7*5)
 +(Farmacologia!$B$8*FarmacologiaAvancadaCalculo!E$1)</f>
        <v>669</v>
      </c>
      <c r="F47">
        <f>Farmacologia!$B$2
 +(Farmacologia!$B$3/2)
 +Farmacologia!$B$4
 +Farmacologia!$B$6
 +(FarmacologiaAvancadaCalculo!$A47)
 +(Farmacologia!$B$5-100)
 +(Farmacologia!$B$7*5)
 +(Farmacologia!$B$8*FarmacologiaAvancadaCalculo!F$1)</f>
        <v>674</v>
      </c>
      <c r="G47">
        <f>Farmacologia!$B$2
 +(Farmacologia!$B$3/2)
 +Farmacologia!$B$4
 +Farmacologia!$B$6
 +(FarmacologiaAvancadaCalculo!$A47)
 +(Farmacologia!$B$5-100)
 +(Farmacologia!$B$7*5)
 +(Farmacologia!$B$8*FarmacologiaAvancadaCalculo!G$1)</f>
        <v>679</v>
      </c>
      <c r="H47">
        <f>Farmacologia!$B$2
 +(Farmacologia!$B$3/2)
 +Farmacologia!$B$4
 +Farmacologia!$B$6
 +(FarmacologiaAvancadaCalculo!$A47)
 +(Farmacologia!$B$5-100)
 +(Farmacologia!$B$7*5)
 +(Farmacologia!$B$8*FarmacologiaAvancadaCalculo!H$1)</f>
        <v>684</v>
      </c>
      <c r="M47">
        <v>630</v>
      </c>
    </row>
    <row r="48" spans="1:13" x14ac:dyDescent="0.25">
      <c r="A48">
        <v>76</v>
      </c>
      <c r="B48">
        <f>Farmacologia!$B$2
 +(Farmacologia!$B$3/2)
 +Farmacologia!$B$4
 +Farmacologia!$B$6
 +(FarmacologiaAvancadaCalculo!$A48)
 +(Farmacologia!$B$5-100)
 +(Farmacologia!$B$7*5)
 +(Farmacologia!$B$8*FarmacologiaAvancadaCalculo!B$1)</f>
        <v>655</v>
      </c>
      <c r="C48">
        <f>Farmacologia!$B$2
 +(Farmacologia!$B$3/2)
 +Farmacologia!$B$4
 +Farmacologia!$B$6
 +(FarmacologiaAvancadaCalculo!$A48)
 +(Farmacologia!$B$5-100)
 +(Farmacologia!$B$7*5)
 +(Farmacologia!$B$8*FarmacologiaAvancadaCalculo!C$1)</f>
        <v>660</v>
      </c>
      <c r="D48">
        <f>Farmacologia!$B$2
 +(Farmacologia!$B$3/2)
 +Farmacologia!$B$4
 +Farmacologia!$B$6
 +(FarmacologiaAvancadaCalculo!$A48)
 +(Farmacologia!$B$5-100)
 +(Farmacologia!$B$7*5)
 +(Farmacologia!$B$8*FarmacologiaAvancadaCalculo!D$1)</f>
        <v>665</v>
      </c>
      <c r="E48">
        <f>Farmacologia!$B$2
 +(Farmacologia!$B$3/2)
 +Farmacologia!$B$4
 +Farmacologia!$B$6
 +(FarmacologiaAvancadaCalculo!$A48)
 +(Farmacologia!$B$5-100)
 +(Farmacologia!$B$7*5)
 +(Farmacologia!$B$8*FarmacologiaAvancadaCalculo!E$1)</f>
        <v>670</v>
      </c>
      <c r="F48">
        <f>Farmacologia!$B$2
 +(Farmacologia!$B$3/2)
 +Farmacologia!$B$4
 +Farmacologia!$B$6
 +(FarmacologiaAvancadaCalculo!$A48)
 +(Farmacologia!$B$5-100)
 +(Farmacologia!$B$7*5)
 +(Farmacologia!$B$8*FarmacologiaAvancadaCalculo!F$1)</f>
        <v>675</v>
      </c>
      <c r="G48">
        <f>Farmacologia!$B$2
 +(Farmacologia!$B$3/2)
 +Farmacologia!$B$4
 +Farmacologia!$B$6
 +(FarmacologiaAvancadaCalculo!$A48)
 +(Farmacologia!$B$5-100)
 +(Farmacologia!$B$7*5)
 +(Farmacologia!$B$8*FarmacologiaAvancadaCalculo!G$1)</f>
        <v>680</v>
      </c>
      <c r="H48">
        <f>Farmacologia!$B$2
 +(Farmacologia!$B$3/2)
 +Farmacologia!$B$4
 +Farmacologia!$B$6
 +(FarmacologiaAvancadaCalculo!$A48)
 +(Farmacologia!$B$5-100)
 +(Farmacologia!$B$7*5)
 +(Farmacologia!$B$8*FarmacologiaAvancadaCalculo!H$1)</f>
        <v>685</v>
      </c>
      <c r="M48">
        <v>635</v>
      </c>
    </row>
    <row r="49" spans="1:13" x14ac:dyDescent="0.25">
      <c r="A49">
        <v>77</v>
      </c>
      <c r="B49">
        <f>Farmacologia!$B$2
 +(Farmacologia!$B$3/2)
 +Farmacologia!$B$4
 +Farmacologia!$B$6
 +(FarmacologiaAvancadaCalculo!$A49)
 +(Farmacologia!$B$5-100)
 +(Farmacologia!$B$7*5)
 +(Farmacologia!$B$8*FarmacologiaAvancadaCalculo!B$1)</f>
        <v>656</v>
      </c>
      <c r="C49">
        <f>Farmacologia!$B$2
 +(Farmacologia!$B$3/2)
 +Farmacologia!$B$4
 +Farmacologia!$B$6
 +(FarmacologiaAvancadaCalculo!$A49)
 +(Farmacologia!$B$5-100)
 +(Farmacologia!$B$7*5)
 +(Farmacologia!$B$8*FarmacologiaAvancadaCalculo!C$1)</f>
        <v>661</v>
      </c>
      <c r="D49">
        <f>Farmacologia!$B$2
 +(Farmacologia!$B$3/2)
 +Farmacologia!$B$4
 +Farmacologia!$B$6
 +(FarmacologiaAvancadaCalculo!$A49)
 +(Farmacologia!$B$5-100)
 +(Farmacologia!$B$7*5)
 +(Farmacologia!$B$8*FarmacologiaAvancadaCalculo!D$1)</f>
        <v>666</v>
      </c>
      <c r="E49">
        <f>Farmacologia!$B$2
 +(Farmacologia!$B$3/2)
 +Farmacologia!$B$4
 +Farmacologia!$B$6
 +(FarmacologiaAvancadaCalculo!$A49)
 +(Farmacologia!$B$5-100)
 +(Farmacologia!$B$7*5)
 +(Farmacologia!$B$8*FarmacologiaAvancadaCalculo!E$1)</f>
        <v>671</v>
      </c>
      <c r="F49">
        <f>Farmacologia!$B$2
 +(Farmacologia!$B$3/2)
 +Farmacologia!$B$4
 +Farmacologia!$B$6
 +(FarmacologiaAvancadaCalculo!$A49)
 +(Farmacologia!$B$5-100)
 +(Farmacologia!$B$7*5)
 +(Farmacologia!$B$8*FarmacologiaAvancadaCalculo!F$1)</f>
        <v>676</v>
      </c>
      <c r="G49">
        <f>Farmacologia!$B$2
 +(Farmacologia!$B$3/2)
 +Farmacologia!$B$4
 +Farmacologia!$B$6
 +(FarmacologiaAvancadaCalculo!$A49)
 +(Farmacologia!$B$5-100)
 +(Farmacologia!$B$7*5)
 +(Farmacologia!$B$8*FarmacologiaAvancadaCalculo!G$1)</f>
        <v>681</v>
      </c>
      <c r="H49">
        <f>Farmacologia!$B$2
 +(Farmacologia!$B$3/2)
 +Farmacologia!$B$4
 +Farmacologia!$B$6
 +(FarmacologiaAvancadaCalculo!$A49)
 +(Farmacologia!$B$5-100)
 +(Farmacologia!$B$7*5)
 +(Farmacologia!$B$8*FarmacologiaAvancadaCalculo!H$1)</f>
        <v>686</v>
      </c>
      <c r="M49">
        <v>640</v>
      </c>
    </row>
    <row r="50" spans="1:13" x14ac:dyDescent="0.25">
      <c r="A50">
        <v>78</v>
      </c>
      <c r="B50">
        <f>Farmacologia!$B$2
 +(Farmacologia!$B$3/2)
 +Farmacologia!$B$4
 +Farmacologia!$B$6
 +(FarmacologiaAvancadaCalculo!$A50)
 +(Farmacologia!$B$5-100)
 +(Farmacologia!$B$7*5)
 +(Farmacologia!$B$8*FarmacologiaAvancadaCalculo!B$1)</f>
        <v>657</v>
      </c>
      <c r="C50">
        <f>Farmacologia!$B$2
 +(Farmacologia!$B$3/2)
 +Farmacologia!$B$4
 +Farmacologia!$B$6
 +(FarmacologiaAvancadaCalculo!$A50)
 +(Farmacologia!$B$5-100)
 +(Farmacologia!$B$7*5)
 +(Farmacologia!$B$8*FarmacologiaAvancadaCalculo!C$1)</f>
        <v>662</v>
      </c>
      <c r="D50">
        <f>Farmacologia!$B$2
 +(Farmacologia!$B$3/2)
 +Farmacologia!$B$4
 +Farmacologia!$B$6
 +(FarmacologiaAvancadaCalculo!$A50)
 +(Farmacologia!$B$5-100)
 +(Farmacologia!$B$7*5)
 +(Farmacologia!$B$8*FarmacologiaAvancadaCalculo!D$1)</f>
        <v>667</v>
      </c>
      <c r="E50">
        <f>Farmacologia!$B$2
 +(Farmacologia!$B$3/2)
 +Farmacologia!$B$4
 +Farmacologia!$B$6
 +(FarmacologiaAvancadaCalculo!$A50)
 +(Farmacologia!$B$5-100)
 +(Farmacologia!$B$7*5)
 +(Farmacologia!$B$8*FarmacologiaAvancadaCalculo!E$1)</f>
        <v>672</v>
      </c>
      <c r="F50">
        <f>Farmacologia!$B$2
 +(Farmacologia!$B$3/2)
 +Farmacologia!$B$4
 +Farmacologia!$B$6
 +(FarmacologiaAvancadaCalculo!$A50)
 +(Farmacologia!$B$5-100)
 +(Farmacologia!$B$7*5)
 +(Farmacologia!$B$8*FarmacologiaAvancadaCalculo!F$1)</f>
        <v>677</v>
      </c>
      <c r="G50">
        <f>Farmacologia!$B$2
 +(Farmacologia!$B$3/2)
 +Farmacologia!$B$4
 +Farmacologia!$B$6
 +(FarmacologiaAvancadaCalculo!$A50)
 +(Farmacologia!$B$5-100)
 +(Farmacologia!$B$7*5)
 +(Farmacologia!$B$8*FarmacologiaAvancadaCalculo!G$1)</f>
        <v>682</v>
      </c>
      <c r="H50">
        <f>Farmacologia!$B$2
 +(Farmacologia!$B$3/2)
 +Farmacologia!$B$4
 +Farmacologia!$B$6
 +(FarmacologiaAvancadaCalculo!$A50)
 +(Farmacologia!$B$5-100)
 +(Farmacologia!$B$7*5)
 +(Farmacologia!$B$8*FarmacologiaAvancadaCalculo!H$1)</f>
        <v>687</v>
      </c>
      <c r="M50">
        <v>645</v>
      </c>
    </row>
    <row r="51" spans="1:13" x14ac:dyDescent="0.25">
      <c r="A51">
        <v>79</v>
      </c>
      <c r="B51">
        <f>Farmacologia!$B$2
 +(Farmacologia!$B$3/2)
 +Farmacologia!$B$4
 +Farmacologia!$B$6
 +(FarmacologiaAvancadaCalculo!$A51)
 +(Farmacologia!$B$5-100)
 +(Farmacologia!$B$7*5)
 +(Farmacologia!$B$8*FarmacologiaAvancadaCalculo!B$1)</f>
        <v>658</v>
      </c>
      <c r="C51">
        <f>Farmacologia!$B$2
 +(Farmacologia!$B$3/2)
 +Farmacologia!$B$4
 +Farmacologia!$B$6
 +(FarmacologiaAvancadaCalculo!$A51)
 +(Farmacologia!$B$5-100)
 +(Farmacologia!$B$7*5)
 +(Farmacologia!$B$8*FarmacologiaAvancadaCalculo!C$1)</f>
        <v>663</v>
      </c>
      <c r="D51">
        <f>Farmacologia!$B$2
 +(Farmacologia!$B$3/2)
 +Farmacologia!$B$4
 +Farmacologia!$B$6
 +(FarmacologiaAvancadaCalculo!$A51)
 +(Farmacologia!$B$5-100)
 +(Farmacologia!$B$7*5)
 +(Farmacologia!$B$8*FarmacologiaAvancadaCalculo!D$1)</f>
        <v>668</v>
      </c>
      <c r="E51">
        <f>Farmacologia!$B$2
 +(Farmacologia!$B$3/2)
 +Farmacologia!$B$4
 +Farmacologia!$B$6
 +(FarmacologiaAvancadaCalculo!$A51)
 +(Farmacologia!$B$5-100)
 +(Farmacologia!$B$7*5)
 +(Farmacologia!$B$8*FarmacologiaAvancadaCalculo!E$1)</f>
        <v>673</v>
      </c>
      <c r="F51">
        <f>Farmacologia!$B$2
 +(Farmacologia!$B$3/2)
 +Farmacologia!$B$4
 +Farmacologia!$B$6
 +(FarmacologiaAvancadaCalculo!$A51)
 +(Farmacologia!$B$5-100)
 +(Farmacologia!$B$7*5)
 +(Farmacologia!$B$8*FarmacologiaAvancadaCalculo!F$1)</f>
        <v>678</v>
      </c>
      <c r="G51">
        <f>Farmacologia!$B$2
 +(Farmacologia!$B$3/2)
 +Farmacologia!$B$4
 +Farmacologia!$B$6
 +(FarmacologiaAvancadaCalculo!$A51)
 +(Farmacologia!$B$5-100)
 +(Farmacologia!$B$7*5)
 +(Farmacologia!$B$8*FarmacologiaAvancadaCalculo!G$1)</f>
        <v>683</v>
      </c>
      <c r="H51">
        <f>Farmacologia!$B$2
 +(Farmacologia!$B$3/2)
 +Farmacologia!$B$4
 +Farmacologia!$B$6
 +(FarmacologiaAvancadaCalculo!$A51)
 +(Farmacologia!$B$5-100)
 +(Farmacologia!$B$7*5)
 +(Farmacologia!$B$8*FarmacologiaAvancadaCalculo!H$1)</f>
        <v>688</v>
      </c>
      <c r="M51">
        <v>616</v>
      </c>
    </row>
    <row r="52" spans="1:13" x14ac:dyDescent="0.25">
      <c r="A52">
        <v>80</v>
      </c>
      <c r="B52">
        <f>Farmacologia!$B$2
 +(Farmacologia!$B$3/2)
 +Farmacologia!$B$4
 +Farmacologia!$B$6
 +(FarmacologiaAvancadaCalculo!$A52)
 +(Farmacologia!$B$5-100)
 +(Farmacologia!$B$7*5)
 +(Farmacologia!$B$8*FarmacologiaAvancadaCalculo!B$1)</f>
        <v>659</v>
      </c>
      <c r="C52">
        <f>Farmacologia!$B$2
 +(Farmacologia!$B$3/2)
 +Farmacologia!$B$4
 +Farmacologia!$B$6
 +(FarmacologiaAvancadaCalculo!$A52)
 +(Farmacologia!$B$5-100)
 +(Farmacologia!$B$7*5)
 +(Farmacologia!$B$8*FarmacologiaAvancadaCalculo!C$1)</f>
        <v>664</v>
      </c>
      <c r="D52">
        <f>Farmacologia!$B$2
 +(Farmacologia!$B$3/2)
 +Farmacologia!$B$4
 +Farmacologia!$B$6
 +(FarmacologiaAvancadaCalculo!$A52)
 +(Farmacologia!$B$5-100)
 +(Farmacologia!$B$7*5)
 +(Farmacologia!$B$8*FarmacologiaAvancadaCalculo!D$1)</f>
        <v>669</v>
      </c>
      <c r="E52">
        <f>Farmacologia!$B$2
 +(Farmacologia!$B$3/2)
 +Farmacologia!$B$4
 +Farmacologia!$B$6
 +(FarmacologiaAvancadaCalculo!$A52)
 +(Farmacologia!$B$5-100)
 +(Farmacologia!$B$7*5)
 +(Farmacologia!$B$8*FarmacologiaAvancadaCalculo!E$1)</f>
        <v>674</v>
      </c>
      <c r="F52">
        <f>Farmacologia!$B$2
 +(Farmacologia!$B$3/2)
 +Farmacologia!$B$4
 +Farmacologia!$B$6
 +(FarmacologiaAvancadaCalculo!$A52)
 +(Farmacologia!$B$5-100)
 +(Farmacologia!$B$7*5)
 +(Farmacologia!$B$8*FarmacologiaAvancadaCalculo!F$1)</f>
        <v>679</v>
      </c>
      <c r="G52">
        <f>Farmacologia!$B$2
 +(Farmacologia!$B$3/2)
 +Farmacologia!$B$4
 +Farmacologia!$B$6
 +(FarmacologiaAvancadaCalculo!$A52)
 +(Farmacologia!$B$5-100)
 +(Farmacologia!$B$7*5)
 +(Farmacologia!$B$8*FarmacologiaAvancadaCalculo!G$1)</f>
        <v>684</v>
      </c>
      <c r="H52">
        <f>Farmacologia!$B$2
 +(Farmacologia!$B$3/2)
 +Farmacologia!$B$4
 +Farmacologia!$B$6
 +(FarmacologiaAvancadaCalculo!$A52)
 +(Farmacologia!$B$5-100)
 +(Farmacologia!$B$7*5)
 +(Farmacologia!$B$8*FarmacologiaAvancadaCalculo!H$1)</f>
        <v>689</v>
      </c>
      <c r="M52">
        <v>621</v>
      </c>
    </row>
    <row r="53" spans="1:13" x14ac:dyDescent="0.25">
      <c r="A53">
        <v>81</v>
      </c>
      <c r="B53">
        <f>Farmacologia!$B$2
 +(Farmacologia!$B$3/2)
 +Farmacologia!$B$4
 +Farmacologia!$B$6
 +(FarmacologiaAvancadaCalculo!$A53)
 +(Farmacologia!$B$5-100)
 +(Farmacologia!$B$7*5)
 +(Farmacologia!$B$8*FarmacologiaAvancadaCalculo!B$1)</f>
        <v>660</v>
      </c>
      <c r="C53">
        <f>Farmacologia!$B$2
 +(Farmacologia!$B$3/2)
 +Farmacologia!$B$4
 +Farmacologia!$B$6
 +(FarmacologiaAvancadaCalculo!$A53)
 +(Farmacologia!$B$5-100)
 +(Farmacologia!$B$7*5)
 +(Farmacologia!$B$8*FarmacologiaAvancadaCalculo!C$1)</f>
        <v>665</v>
      </c>
      <c r="D53">
        <f>Farmacologia!$B$2
 +(Farmacologia!$B$3/2)
 +Farmacologia!$B$4
 +Farmacologia!$B$6
 +(FarmacologiaAvancadaCalculo!$A53)
 +(Farmacologia!$B$5-100)
 +(Farmacologia!$B$7*5)
 +(Farmacologia!$B$8*FarmacologiaAvancadaCalculo!D$1)</f>
        <v>670</v>
      </c>
      <c r="E53">
        <f>Farmacologia!$B$2
 +(Farmacologia!$B$3/2)
 +Farmacologia!$B$4
 +Farmacologia!$B$6
 +(FarmacologiaAvancadaCalculo!$A53)
 +(Farmacologia!$B$5-100)
 +(Farmacologia!$B$7*5)
 +(Farmacologia!$B$8*FarmacologiaAvancadaCalculo!E$1)</f>
        <v>675</v>
      </c>
      <c r="F53">
        <f>Farmacologia!$B$2
 +(Farmacologia!$B$3/2)
 +Farmacologia!$B$4
 +Farmacologia!$B$6
 +(FarmacologiaAvancadaCalculo!$A53)
 +(Farmacologia!$B$5-100)
 +(Farmacologia!$B$7*5)
 +(Farmacologia!$B$8*FarmacologiaAvancadaCalculo!F$1)</f>
        <v>680</v>
      </c>
      <c r="G53">
        <f>Farmacologia!$B$2
 +(Farmacologia!$B$3/2)
 +Farmacologia!$B$4
 +Farmacologia!$B$6
 +(FarmacologiaAvancadaCalculo!$A53)
 +(Farmacologia!$B$5-100)
 +(Farmacologia!$B$7*5)
 +(Farmacologia!$B$8*FarmacologiaAvancadaCalculo!G$1)</f>
        <v>685</v>
      </c>
      <c r="H53">
        <f>Farmacologia!$B$2
 +(Farmacologia!$B$3/2)
 +Farmacologia!$B$4
 +Farmacologia!$B$6
 +(FarmacologiaAvancadaCalculo!$A53)
 +(Farmacologia!$B$5-100)
 +(Farmacologia!$B$7*5)
 +(Farmacologia!$B$8*FarmacologiaAvancadaCalculo!H$1)</f>
        <v>690</v>
      </c>
      <c r="M53">
        <v>626</v>
      </c>
    </row>
    <row r="54" spans="1:13" x14ac:dyDescent="0.25">
      <c r="A54">
        <v>82</v>
      </c>
      <c r="B54">
        <f>Farmacologia!$B$2
 +(Farmacologia!$B$3/2)
 +Farmacologia!$B$4
 +Farmacologia!$B$6
 +(FarmacologiaAvancadaCalculo!$A54)
 +(Farmacologia!$B$5-100)
 +(Farmacologia!$B$7*5)
 +(Farmacologia!$B$8*FarmacologiaAvancadaCalculo!B$1)</f>
        <v>661</v>
      </c>
      <c r="C54">
        <f>Farmacologia!$B$2
 +(Farmacologia!$B$3/2)
 +Farmacologia!$B$4
 +Farmacologia!$B$6
 +(FarmacologiaAvancadaCalculo!$A54)
 +(Farmacologia!$B$5-100)
 +(Farmacologia!$B$7*5)
 +(Farmacologia!$B$8*FarmacologiaAvancadaCalculo!C$1)</f>
        <v>666</v>
      </c>
      <c r="D54">
        <f>Farmacologia!$B$2
 +(Farmacologia!$B$3/2)
 +Farmacologia!$B$4
 +Farmacologia!$B$6
 +(FarmacologiaAvancadaCalculo!$A54)
 +(Farmacologia!$B$5-100)
 +(Farmacologia!$B$7*5)
 +(Farmacologia!$B$8*FarmacologiaAvancadaCalculo!D$1)</f>
        <v>671</v>
      </c>
      <c r="E54">
        <f>Farmacologia!$B$2
 +(Farmacologia!$B$3/2)
 +Farmacologia!$B$4
 +Farmacologia!$B$6
 +(FarmacologiaAvancadaCalculo!$A54)
 +(Farmacologia!$B$5-100)
 +(Farmacologia!$B$7*5)
 +(Farmacologia!$B$8*FarmacologiaAvancadaCalculo!E$1)</f>
        <v>676</v>
      </c>
      <c r="F54">
        <f>Farmacologia!$B$2
 +(Farmacologia!$B$3/2)
 +Farmacologia!$B$4
 +Farmacologia!$B$6
 +(FarmacologiaAvancadaCalculo!$A54)
 +(Farmacologia!$B$5-100)
 +(Farmacologia!$B$7*5)
 +(Farmacologia!$B$8*FarmacologiaAvancadaCalculo!F$1)</f>
        <v>681</v>
      </c>
      <c r="G54">
        <f>Farmacologia!$B$2
 +(Farmacologia!$B$3/2)
 +Farmacologia!$B$4
 +Farmacologia!$B$6
 +(FarmacologiaAvancadaCalculo!$A54)
 +(Farmacologia!$B$5-100)
 +(Farmacologia!$B$7*5)
 +(Farmacologia!$B$8*FarmacologiaAvancadaCalculo!G$1)</f>
        <v>686</v>
      </c>
      <c r="H54">
        <f>Farmacologia!$B$2
 +(Farmacologia!$B$3/2)
 +Farmacologia!$B$4
 +Farmacologia!$B$6
 +(FarmacologiaAvancadaCalculo!$A54)
 +(Farmacologia!$B$5-100)
 +(Farmacologia!$B$7*5)
 +(Farmacologia!$B$8*FarmacologiaAvancadaCalculo!H$1)</f>
        <v>691</v>
      </c>
      <c r="M54">
        <v>631</v>
      </c>
    </row>
    <row r="55" spans="1:13" x14ac:dyDescent="0.25">
      <c r="A55">
        <v>83</v>
      </c>
      <c r="B55">
        <f>Farmacologia!$B$2
 +(Farmacologia!$B$3/2)
 +Farmacologia!$B$4
 +Farmacologia!$B$6
 +(FarmacologiaAvancadaCalculo!$A55)
 +(Farmacologia!$B$5-100)
 +(Farmacologia!$B$7*5)
 +(Farmacologia!$B$8*FarmacologiaAvancadaCalculo!B$1)</f>
        <v>662</v>
      </c>
      <c r="C55">
        <f>Farmacologia!$B$2
 +(Farmacologia!$B$3/2)
 +Farmacologia!$B$4
 +Farmacologia!$B$6
 +(FarmacologiaAvancadaCalculo!$A55)
 +(Farmacologia!$B$5-100)
 +(Farmacologia!$B$7*5)
 +(Farmacologia!$B$8*FarmacologiaAvancadaCalculo!C$1)</f>
        <v>667</v>
      </c>
      <c r="D55">
        <f>Farmacologia!$B$2
 +(Farmacologia!$B$3/2)
 +Farmacologia!$B$4
 +Farmacologia!$B$6
 +(FarmacologiaAvancadaCalculo!$A55)
 +(Farmacologia!$B$5-100)
 +(Farmacologia!$B$7*5)
 +(Farmacologia!$B$8*FarmacologiaAvancadaCalculo!D$1)</f>
        <v>672</v>
      </c>
      <c r="E55">
        <f>Farmacologia!$B$2
 +(Farmacologia!$B$3/2)
 +Farmacologia!$B$4
 +Farmacologia!$B$6
 +(FarmacologiaAvancadaCalculo!$A55)
 +(Farmacologia!$B$5-100)
 +(Farmacologia!$B$7*5)
 +(Farmacologia!$B$8*FarmacologiaAvancadaCalculo!E$1)</f>
        <v>677</v>
      </c>
      <c r="F55">
        <f>Farmacologia!$B$2
 +(Farmacologia!$B$3/2)
 +Farmacologia!$B$4
 +Farmacologia!$B$6
 +(FarmacologiaAvancadaCalculo!$A55)
 +(Farmacologia!$B$5-100)
 +(Farmacologia!$B$7*5)
 +(Farmacologia!$B$8*FarmacologiaAvancadaCalculo!F$1)</f>
        <v>682</v>
      </c>
      <c r="G55">
        <f>Farmacologia!$B$2
 +(Farmacologia!$B$3/2)
 +Farmacologia!$B$4
 +Farmacologia!$B$6
 +(FarmacologiaAvancadaCalculo!$A55)
 +(Farmacologia!$B$5-100)
 +(Farmacologia!$B$7*5)
 +(Farmacologia!$B$8*FarmacologiaAvancadaCalculo!G$1)</f>
        <v>687</v>
      </c>
      <c r="H55">
        <f>Farmacologia!$B$2
 +(Farmacologia!$B$3/2)
 +Farmacologia!$B$4
 +Farmacologia!$B$6
 +(FarmacologiaAvancadaCalculo!$A55)
 +(Farmacologia!$B$5-100)
 +(Farmacologia!$B$7*5)
 +(Farmacologia!$B$8*FarmacologiaAvancadaCalculo!H$1)</f>
        <v>692</v>
      </c>
      <c r="M55">
        <v>636</v>
      </c>
    </row>
    <row r="56" spans="1:13" x14ac:dyDescent="0.25">
      <c r="A56">
        <v>84</v>
      </c>
      <c r="B56">
        <f>Farmacologia!$B$2
 +(Farmacologia!$B$3/2)
 +Farmacologia!$B$4
 +Farmacologia!$B$6
 +(FarmacologiaAvancadaCalculo!$A56)
 +(Farmacologia!$B$5-100)
 +(Farmacologia!$B$7*5)
 +(Farmacologia!$B$8*FarmacologiaAvancadaCalculo!B$1)</f>
        <v>663</v>
      </c>
      <c r="C56">
        <f>Farmacologia!$B$2
 +(Farmacologia!$B$3/2)
 +Farmacologia!$B$4
 +Farmacologia!$B$6
 +(FarmacologiaAvancadaCalculo!$A56)
 +(Farmacologia!$B$5-100)
 +(Farmacologia!$B$7*5)
 +(Farmacologia!$B$8*FarmacologiaAvancadaCalculo!C$1)</f>
        <v>668</v>
      </c>
      <c r="D56">
        <f>Farmacologia!$B$2
 +(Farmacologia!$B$3/2)
 +Farmacologia!$B$4
 +Farmacologia!$B$6
 +(FarmacologiaAvancadaCalculo!$A56)
 +(Farmacologia!$B$5-100)
 +(Farmacologia!$B$7*5)
 +(Farmacologia!$B$8*FarmacologiaAvancadaCalculo!D$1)</f>
        <v>673</v>
      </c>
      <c r="E56">
        <f>Farmacologia!$B$2
 +(Farmacologia!$B$3/2)
 +Farmacologia!$B$4
 +Farmacologia!$B$6
 +(FarmacologiaAvancadaCalculo!$A56)
 +(Farmacologia!$B$5-100)
 +(Farmacologia!$B$7*5)
 +(Farmacologia!$B$8*FarmacologiaAvancadaCalculo!E$1)</f>
        <v>678</v>
      </c>
      <c r="F56">
        <f>Farmacologia!$B$2
 +(Farmacologia!$B$3/2)
 +Farmacologia!$B$4
 +Farmacologia!$B$6
 +(FarmacologiaAvancadaCalculo!$A56)
 +(Farmacologia!$B$5-100)
 +(Farmacologia!$B$7*5)
 +(Farmacologia!$B$8*FarmacologiaAvancadaCalculo!F$1)</f>
        <v>683</v>
      </c>
      <c r="G56">
        <f>Farmacologia!$B$2
 +(Farmacologia!$B$3/2)
 +Farmacologia!$B$4
 +Farmacologia!$B$6
 +(FarmacologiaAvancadaCalculo!$A56)
 +(Farmacologia!$B$5-100)
 +(Farmacologia!$B$7*5)
 +(Farmacologia!$B$8*FarmacologiaAvancadaCalculo!G$1)</f>
        <v>688</v>
      </c>
      <c r="H56">
        <f>Farmacologia!$B$2
 +(Farmacologia!$B$3/2)
 +Farmacologia!$B$4
 +Farmacologia!$B$6
 +(FarmacologiaAvancadaCalculo!$A56)
 +(Farmacologia!$B$5-100)
 +(Farmacologia!$B$7*5)
 +(Farmacologia!$B$8*FarmacologiaAvancadaCalculo!H$1)</f>
        <v>693</v>
      </c>
      <c r="M56">
        <v>641</v>
      </c>
    </row>
    <row r="57" spans="1:13" x14ac:dyDescent="0.25">
      <c r="A57">
        <v>85</v>
      </c>
      <c r="B57">
        <f>Farmacologia!$B$2
 +(Farmacologia!$B$3/2)
 +Farmacologia!$B$4
 +Farmacologia!$B$6
 +(FarmacologiaAvancadaCalculo!$A57)
 +(Farmacologia!$B$5-100)
 +(Farmacologia!$B$7*5)
 +(Farmacologia!$B$8*FarmacologiaAvancadaCalculo!B$1)</f>
        <v>664</v>
      </c>
      <c r="C57">
        <f>Farmacologia!$B$2
 +(Farmacologia!$B$3/2)
 +Farmacologia!$B$4
 +Farmacologia!$B$6
 +(FarmacologiaAvancadaCalculo!$A57)
 +(Farmacologia!$B$5-100)
 +(Farmacologia!$B$7*5)
 +(Farmacologia!$B$8*FarmacologiaAvancadaCalculo!C$1)</f>
        <v>669</v>
      </c>
      <c r="D57">
        <f>Farmacologia!$B$2
 +(Farmacologia!$B$3/2)
 +Farmacologia!$B$4
 +Farmacologia!$B$6
 +(FarmacologiaAvancadaCalculo!$A57)
 +(Farmacologia!$B$5-100)
 +(Farmacologia!$B$7*5)
 +(Farmacologia!$B$8*FarmacologiaAvancadaCalculo!D$1)</f>
        <v>674</v>
      </c>
      <c r="E57">
        <f>Farmacologia!$B$2
 +(Farmacologia!$B$3/2)
 +Farmacologia!$B$4
 +Farmacologia!$B$6
 +(FarmacologiaAvancadaCalculo!$A57)
 +(Farmacologia!$B$5-100)
 +(Farmacologia!$B$7*5)
 +(Farmacologia!$B$8*FarmacologiaAvancadaCalculo!E$1)</f>
        <v>679</v>
      </c>
      <c r="F57">
        <f>Farmacologia!$B$2
 +(Farmacologia!$B$3/2)
 +Farmacologia!$B$4
 +Farmacologia!$B$6
 +(FarmacologiaAvancadaCalculo!$A57)
 +(Farmacologia!$B$5-100)
 +(Farmacologia!$B$7*5)
 +(Farmacologia!$B$8*FarmacologiaAvancadaCalculo!F$1)</f>
        <v>684</v>
      </c>
      <c r="G57">
        <f>Farmacologia!$B$2
 +(Farmacologia!$B$3/2)
 +Farmacologia!$B$4
 +Farmacologia!$B$6
 +(FarmacologiaAvancadaCalculo!$A57)
 +(Farmacologia!$B$5-100)
 +(Farmacologia!$B$7*5)
 +(Farmacologia!$B$8*FarmacologiaAvancadaCalculo!G$1)</f>
        <v>689</v>
      </c>
      <c r="H57">
        <f>Farmacologia!$B$2
 +(Farmacologia!$B$3/2)
 +Farmacologia!$B$4
 +Farmacologia!$B$6
 +(FarmacologiaAvancadaCalculo!$A57)
 +(Farmacologia!$B$5-100)
 +(Farmacologia!$B$7*5)
 +(Farmacologia!$B$8*FarmacologiaAvancadaCalculo!H$1)</f>
        <v>694</v>
      </c>
      <c r="M57">
        <v>646</v>
      </c>
    </row>
    <row r="58" spans="1:13" x14ac:dyDescent="0.25">
      <c r="A58">
        <v>86</v>
      </c>
      <c r="B58">
        <f>Farmacologia!$B$2
 +(Farmacologia!$B$3/2)
 +Farmacologia!$B$4
 +Farmacologia!$B$6
 +(FarmacologiaAvancadaCalculo!$A58)
 +(Farmacologia!$B$5-100)
 +(Farmacologia!$B$7*5)
 +(Farmacologia!$B$8*FarmacologiaAvancadaCalculo!B$1)</f>
        <v>665</v>
      </c>
      <c r="C58">
        <f>Farmacologia!$B$2
 +(Farmacologia!$B$3/2)
 +Farmacologia!$B$4
 +Farmacologia!$B$6
 +(FarmacologiaAvancadaCalculo!$A58)
 +(Farmacologia!$B$5-100)
 +(Farmacologia!$B$7*5)
 +(Farmacologia!$B$8*FarmacologiaAvancadaCalculo!C$1)</f>
        <v>670</v>
      </c>
      <c r="D58">
        <f>Farmacologia!$B$2
 +(Farmacologia!$B$3/2)
 +Farmacologia!$B$4
 +Farmacologia!$B$6
 +(FarmacologiaAvancadaCalculo!$A58)
 +(Farmacologia!$B$5-100)
 +(Farmacologia!$B$7*5)
 +(Farmacologia!$B$8*FarmacologiaAvancadaCalculo!D$1)</f>
        <v>675</v>
      </c>
      <c r="E58">
        <f>Farmacologia!$B$2
 +(Farmacologia!$B$3/2)
 +Farmacologia!$B$4
 +Farmacologia!$B$6
 +(FarmacologiaAvancadaCalculo!$A58)
 +(Farmacologia!$B$5-100)
 +(Farmacologia!$B$7*5)
 +(Farmacologia!$B$8*FarmacologiaAvancadaCalculo!E$1)</f>
        <v>680</v>
      </c>
      <c r="F58">
        <f>Farmacologia!$B$2
 +(Farmacologia!$B$3/2)
 +Farmacologia!$B$4
 +Farmacologia!$B$6
 +(FarmacologiaAvancadaCalculo!$A58)
 +(Farmacologia!$B$5-100)
 +(Farmacologia!$B$7*5)
 +(Farmacologia!$B$8*FarmacologiaAvancadaCalculo!F$1)</f>
        <v>685</v>
      </c>
      <c r="G58">
        <f>Farmacologia!$B$2
 +(Farmacologia!$B$3/2)
 +Farmacologia!$B$4
 +Farmacologia!$B$6
 +(FarmacologiaAvancadaCalculo!$A58)
 +(Farmacologia!$B$5-100)
 +(Farmacologia!$B$7*5)
 +(Farmacologia!$B$8*FarmacologiaAvancadaCalculo!G$1)</f>
        <v>690</v>
      </c>
      <c r="H58">
        <f>Farmacologia!$B$2
 +(Farmacologia!$B$3/2)
 +Farmacologia!$B$4
 +Farmacologia!$B$6
 +(FarmacologiaAvancadaCalculo!$A58)
 +(Farmacologia!$B$5-100)
 +(Farmacologia!$B$7*5)
 +(Farmacologia!$B$8*FarmacologiaAvancadaCalculo!H$1)</f>
        <v>695</v>
      </c>
      <c r="M58">
        <v>617</v>
      </c>
    </row>
    <row r="59" spans="1:13" x14ac:dyDescent="0.25">
      <c r="A59">
        <v>87</v>
      </c>
      <c r="B59">
        <f>Farmacologia!$B$2
 +(Farmacologia!$B$3/2)
 +Farmacologia!$B$4
 +Farmacologia!$B$6
 +(FarmacologiaAvancadaCalculo!$A59)
 +(Farmacologia!$B$5-100)
 +(Farmacologia!$B$7*5)
 +(Farmacologia!$B$8*FarmacologiaAvancadaCalculo!B$1)</f>
        <v>666</v>
      </c>
      <c r="C59">
        <f>Farmacologia!$B$2
 +(Farmacologia!$B$3/2)
 +Farmacologia!$B$4
 +Farmacologia!$B$6
 +(FarmacologiaAvancadaCalculo!$A59)
 +(Farmacologia!$B$5-100)
 +(Farmacologia!$B$7*5)
 +(Farmacologia!$B$8*FarmacologiaAvancadaCalculo!C$1)</f>
        <v>671</v>
      </c>
      <c r="D59">
        <f>Farmacologia!$B$2
 +(Farmacologia!$B$3/2)
 +Farmacologia!$B$4
 +Farmacologia!$B$6
 +(FarmacologiaAvancadaCalculo!$A59)
 +(Farmacologia!$B$5-100)
 +(Farmacologia!$B$7*5)
 +(Farmacologia!$B$8*FarmacologiaAvancadaCalculo!D$1)</f>
        <v>676</v>
      </c>
      <c r="E59">
        <f>Farmacologia!$B$2
 +(Farmacologia!$B$3/2)
 +Farmacologia!$B$4
 +Farmacologia!$B$6
 +(FarmacologiaAvancadaCalculo!$A59)
 +(Farmacologia!$B$5-100)
 +(Farmacologia!$B$7*5)
 +(Farmacologia!$B$8*FarmacologiaAvancadaCalculo!E$1)</f>
        <v>681</v>
      </c>
      <c r="F59">
        <f>Farmacologia!$B$2
 +(Farmacologia!$B$3/2)
 +Farmacologia!$B$4
 +Farmacologia!$B$6
 +(FarmacologiaAvancadaCalculo!$A59)
 +(Farmacologia!$B$5-100)
 +(Farmacologia!$B$7*5)
 +(Farmacologia!$B$8*FarmacologiaAvancadaCalculo!F$1)</f>
        <v>686</v>
      </c>
      <c r="G59">
        <f>Farmacologia!$B$2
 +(Farmacologia!$B$3/2)
 +Farmacologia!$B$4
 +Farmacologia!$B$6
 +(FarmacologiaAvancadaCalculo!$A59)
 +(Farmacologia!$B$5-100)
 +(Farmacologia!$B$7*5)
 +(Farmacologia!$B$8*FarmacologiaAvancadaCalculo!G$1)</f>
        <v>691</v>
      </c>
      <c r="H59">
        <f>Farmacologia!$B$2
 +(Farmacologia!$B$3/2)
 +Farmacologia!$B$4
 +Farmacologia!$B$6
 +(FarmacologiaAvancadaCalculo!$A59)
 +(Farmacologia!$B$5-100)
 +(Farmacologia!$B$7*5)
 +(Farmacologia!$B$8*FarmacologiaAvancadaCalculo!H$1)</f>
        <v>696</v>
      </c>
      <c r="M59">
        <v>622</v>
      </c>
    </row>
    <row r="60" spans="1:13" x14ac:dyDescent="0.25">
      <c r="A60">
        <v>88</v>
      </c>
      <c r="B60">
        <f>Farmacologia!$B$2
 +(Farmacologia!$B$3/2)
 +Farmacologia!$B$4
 +Farmacologia!$B$6
 +(FarmacologiaAvancadaCalculo!$A60)
 +(Farmacologia!$B$5-100)
 +(Farmacologia!$B$7*5)
 +(Farmacologia!$B$8*FarmacologiaAvancadaCalculo!B$1)</f>
        <v>667</v>
      </c>
      <c r="C60">
        <f>Farmacologia!$B$2
 +(Farmacologia!$B$3/2)
 +Farmacologia!$B$4
 +Farmacologia!$B$6
 +(FarmacologiaAvancadaCalculo!$A60)
 +(Farmacologia!$B$5-100)
 +(Farmacologia!$B$7*5)
 +(Farmacologia!$B$8*FarmacologiaAvancadaCalculo!C$1)</f>
        <v>672</v>
      </c>
      <c r="D60">
        <f>Farmacologia!$B$2
 +(Farmacologia!$B$3/2)
 +Farmacologia!$B$4
 +Farmacologia!$B$6
 +(FarmacologiaAvancadaCalculo!$A60)
 +(Farmacologia!$B$5-100)
 +(Farmacologia!$B$7*5)
 +(Farmacologia!$B$8*FarmacologiaAvancadaCalculo!D$1)</f>
        <v>677</v>
      </c>
      <c r="E60">
        <f>Farmacologia!$B$2
 +(Farmacologia!$B$3/2)
 +Farmacologia!$B$4
 +Farmacologia!$B$6
 +(FarmacologiaAvancadaCalculo!$A60)
 +(Farmacologia!$B$5-100)
 +(Farmacologia!$B$7*5)
 +(Farmacologia!$B$8*FarmacologiaAvancadaCalculo!E$1)</f>
        <v>682</v>
      </c>
      <c r="F60">
        <f>Farmacologia!$B$2
 +(Farmacologia!$B$3/2)
 +Farmacologia!$B$4
 +Farmacologia!$B$6
 +(FarmacologiaAvancadaCalculo!$A60)
 +(Farmacologia!$B$5-100)
 +(Farmacologia!$B$7*5)
 +(Farmacologia!$B$8*FarmacologiaAvancadaCalculo!F$1)</f>
        <v>687</v>
      </c>
      <c r="G60">
        <f>Farmacologia!$B$2
 +(Farmacologia!$B$3/2)
 +Farmacologia!$B$4
 +Farmacologia!$B$6
 +(FarmacologiaAvancadaCalculo!$A60)
 +(Farmacologia!$B$5-100)
 +(Farmacologia!$B$7*5)
 +(Farmacologia!$B$8*FarmacologiaAvancadaCalculo!G$1)</f>
        <v>692</v>
      </c>
      <c r="H60">
        <f>Farmacologia!$B$2
 +(Farmacologia!$B$3/2)
 +Farmacologia!$B$4
 +Farmacologia!$B$6
 +(FarmacologiaAvancadaCalculo!$A60)
 +(Farmacologia!$B$5-100)
 +(Farmacologia!$B$7*5)
 +(Farmacologia!$B$8*FarmacologiaAvancadaCalculo!H$1)</f>
        <v>697</v>
      </c>
      <c r="M60">
        <v>627</v>
      </c>
    </row>
    <row r="61" spans="1:13" x14ac:dyDescent="0.25">
      <c r="A61">
        <v>89</v>
      </c>
      <c r="B61">
        <f>Farmacologia!$B$2
 +(Farmacologia!$B$3/2)
 +Farmacologia!$B$4
 +Farmacologia!$B$6
 +(FarmacologiaAvancadaCalculo!$A61)
 +(Farmacologia!$B$5-100)
 +(Farmacologia!$B$7*5)
 +(Farmacologia!$B$8*FarmacologiaAvancadaCalculo!B$1)</f>
        <v>668</v>
      </c>
      <c r="C61">
        <f>Farmacologia!$B$2
 +(Farmacologia!$B$3/2)
 +Farmacologia!$B$4
 +Farmacologia!$B$6
 +(FarmacologiaAvancadaCalculo!$A61)
 +(Farmacologia!$B$5-100)
 +(Farmacologia!$B$7*5)
 +(Farmacologia!$B$8*FarmacologiaAvancadaCalculo!C$1)</f>
        <v>673</v>
      </c>
      <c r="D61">
        <f>Farmacologia!$B$2
 +(Farmacologia!$B$3/2)
 +Farmacologia!$B$4
 +Farmacologia!$B$6
 +(FarmacologiaAvancadaCalculo!$A61)
 +(Farmacologia!$B$5-100)
 +(Farmacologia!$B$7*5)
 +(Farmacologia!$B$8*FarmacologiaAvancadaCalculo!D$1)</f>
        <v>678</v>
      </c>
      <c r="E61">
        <f>Farmacologia!$B$2
 +(Farmacologia!$B$3/2)
 +Farmacologia!$B$4
 +Farmacologia!$B$6
 +(FarmacologiaAvancadaCalculo!$A61)
 +(Farmacologia!$B$5-100)
 +(Farmacologia!$B$7*5)
 +(Farmacologia!$B$8*FarmacologiaAvancadaCalculo!E$1)</f>
        <v>683</v>
      </c>
      <c r="F61">
        <f>Farmacologia!$B$2
 +(Farmacologia!$B$3/2)
 +Farmacologia!$B$4
 +Farmacologia!$B$6
 +(FarmacologiaAvancadaCalculo!$A61)
 +(Farmacologia!$B$5-100)
 +(Farmacologia!$B$7*5)
 +(Farmacologia!$B$8*FarmacologiaAvancadaCalculo!F$1)</f>
        <v>688</v>
      </c>
      <c r="G61">
        <f>Farmacologia!$B$2
 +(Farmacologia!$B$3/2)
 +Farmacologia!$B$4
 +Farmacologia!$B$6
 +(FarmacologiaAvancadaCalculo!$A61)
 +(Farmacologia!$B$5-100)
 +(Farmacologia!$B$7*5)
 +(Farmacologia!$B$8*FarmacologiaAvancadaCalculo!G$1)</f>
        <v>693</v>
      </c>
      <c r="H61">
        <f>Farmacologia!$B$2
 +(Farmacologia!$B$3/2)
 +Farmacologia!$B$4
 +Farmacologia!$B$6
 +(FarmacologiaAvancadaCalculo!$A61)
 +(Farmacologia!$B$5-100)
 +(Farmacologia!$B$7*5)
 +(Farmacologia!$B$8*FarmacologiaAvancadaCalculo!H$1)</f>
        <v>698</v>
      </c>
      <c r="M61">
        <v>632</v>
      </c>
    </row>
    <row r="62" spans="1:13" x14ac:dyDescent="0.25">
      <c r="A62">
        <v>90</v>
      </c>
      <c r="B62">
        <f>Farmacologia!$B$2
 +(Farmacologia!$B$3/2)
 +Farmacologia!$B$4
 +Farmacologia!$B$6
 +(FarmacologiaAvancadaCalculo!$A62)
 +(Farmacologia!$B$5-100)
 +(Farmacologia!$B$7*5)
 +(Farmacologia!$B$8*FarmacologiaAvancadaCalculo!B$1)</f>
        <v>669</v>
      </c>
      <c r="C62">
        <f>Farmacologia!$B$2
 +(Farmacologia!$B$3/2)
 +Farmacologia!$B$4
 +Farmacologia!$B$6
 +(FarmacologiaAvancadaCalculo!$A62)
 +(Farmacologia!$B$5-100)
 +(Farmacologia!$B$7*5)
 +(Farmacologia!$B$8*FarmacologiaAvancadaCalculo!C$1)</f>
        <v>674</v>
      </c>
      <c r="D62">
        <f>Farmacologia!$B$2
 +(Farmacologia!$B$3/2)
 +Farmacologia!$B$4
 +Farmacologia!$B$6
 +(FarmacologiaAvancadaCalculo!$A62)
 +(Farmacologia!$B$5-100)
 +(Farmacologia!$B$7*5)
 +(Farmacologia!$B$8*FarmacologiaAvancadaCalculo!D$1)</f>
        <v>679</v>
      </c>
      <c r="E62">
        <f>Farmacologia!$B$2
 +(Farmacologia!$B$3/2)
 +Farmacologia!$B$4
 +Farmacologia!$B$6
 +(FarmacologiaAvancadaCalculo!$A62)
 +(Farmacologia!$B$5-100)
 +(Farmacologia!$B$7*5)
 +(Farmacologia!$B$8*FarmacologiaAvancadaCalculo!E$1)</f>
        <v>684</v>
      </c>
      <c r="F62">
        <f>Farmacologia!$B$2
 +(Farmacologia!$B$3/2)
 +Farmacologia!$B$4
 +Farmacologia!$B$6
 +(FarmacologiaAvancadaCalculo!$A62)
 +(Farmacologia!$B$5-100)
 +(Farmacologia!$B$7*5)
 +(Farmacologia!$B$8*FarmacologiaAvancadaCalculo!F$1)</f>
        <v>689</v>
      </c>
      <c r="G62">
        <f>Farmacologia!$B$2
 +(Farmacologia!$B$3/2)
 +Farmacologia!$B$4
 +Farmacologia!$B$6
 +(FarmacologiaAvancadaCalculo!$A62)
 +(Farmacologia!$B$5-100)
 +(Farmacologia!$B$7*5)
 +(Farmacologia!$B$8*FarmacologiaAvancadaCalculo!G$1)</f>
        <v>694</v>
      </c>
      <c r="H62">
        <f>Farmacologia!$B$2
 +(Farmacologia!$B$3/2)
 +Farmacologia!$B$4
 +Farmacologia!$B$6
 +(FarmacologiaAvancadaCalculo!$A62)
 +(Farmacologia!$B$5-100)
 +(Farmacologia!$B$7*5)
 +(Farmacologia!$B$8*FarmacologiaAvancadaCalculo!H$1)</f>
        <v>699</v>
      </c>
      <c r="M62">
        <v>637</v>
      </c>
    </row>
    <row r="63" spans="1:13" x14ac:dyDescent="0.25">
      <c r="A63">
        <v>91</v>
      </c>
      <c r="B63">
        <f>Farmacologia!$B$2
 +(Farmacologia!$B$3/2)
 +Farmacologia!$B$4
 +Farmacologia!$B$6
 +(FarmacologiaAvancadaCalculo!$A63)
 +(Farmacologia!$B$5-100)
 +(Farmacologia!$B$7*5)
 +(Farmacologia!$B$8*FarmacologiaAvancadaCalculo!B$1)</f>
        <v>670</v>
      </c>
      <c r="C63">
        <f>Farmacologia!$B$2
 +(Farmacologia!$B$3/2)
 +Farmacologia!$B$4
 +Farmacologia!$B$6
 +(FarmacologiaAvancadaCalculo!$A63)
 +(Farmacologia!$B$5-100)
 +(Farmacologia!$B$7*5)
 +(Farmacologia!$B$8*FarmacologiaAvancadaCalculo!C$1)</f>
        <v>675</v>
      </c>
      <c r="D63">
        <f>Farmacologia!$B$2
 +(Farmacologia!$B$3/2)
 +Farmacologia!$B$4
 +Farmacologia!$B$6
 +(FarmacologiaAvancadaCalculo!$A63)
 +(Farmacologia!$B$5-100)
 +(Farmacologia!$B$7*5)
 +(Farmacologia!$B$8*FarmacologiaAvancadaCalculo!D$1)</f>
        <v>680</v>
      </c>
      <c r="E63">
        <f>Farmacologia!$B$2
 +(Farmacologia!$B$3/2)
 +Farmacologia!$B$4
 +Farmacologia!$B$6
 +(FarmacologiaAvancadaCalculo!$A63)
 +(Farmacologia!$B$5-100)
 +(Farmacologia!$B$7*5)
 +(Farmacologia!$B$8*FarmacologiaAvancadaCalculo!E$1)</f>
        <v>685</v>
      </c>
      <c r="F63">
        <f>Farmacologia!$B$2
 +(Farmacologia!$B$3/2)
 +Farmacologia!$B$4
 +Farmacologia!$B$6
 +(FarmacologiaAvancadaCalculo!$A63)
 +(Farmacologia!$B$5-100)
 +(Farmacologia!$B$7*5)
 +(Farmacologia!$B$8*FarmacologiaAvancadaCalculo!F$1)</f>
        <v>690</v>
      </c>
      <c r="G63">
        <f>Farmacologia!$B$2
 +(Farmacologia!$B$3/2)
 +Farmacologia!$B$4
 +Farmacologia!$B$6
 +(FarmacologiaAvancadaCalculo!$A63)
 +(Farmacologia!$B$5-100)
 +(Farmacologia!$B$7*5)
 +(Farmacologia!$B$8*FarmacologiaAvancadaCalculo!G$1)</f>
        <v>695</v>
      </c>
      <c r="H63">
        <f>Farmacologia!$B$2
 +(Farmacologia!$B$3/2)
 +Farmacologia!$B$4
 +Farmacologia!$B$6
 +(FarmacologiaAvancadaCalculo!$A63)
 +(Farmacologia!$B$5-100)
 +(Farmacologia!$B$7*5)
 +(Farmacologia!$B$8*FarmacologiaAvancadaCalculo!H$1)</f>
        <v>700</v>
      </c>
      <c r="M63">
        <v>642</v>
      </c>
    </row>
    <row r="64" spans="1:13" x14ac:dyDescent="0.25">
      <c r="A64">
        <v>92</v>
      </c>
      <c r="B64">
        <f>Farmacologia!$B$2
 +(Farmacologia!$B$3/2)
 +Farmacologia!$B$4
 +Farmacologia!$B$6
 +(FarmacologiaAvancadaCalculo!$A64)
 +(Farmacologia!$B$5-100)
 +(Farmacologia!$B$7*5)
 +(Farmacologia!$B$8*FarmacologiaAvancadaCalculo!B$1)</f>
        <v>671</v>
      </c>
      <c r="C64">
        <f>Farmacologia!$B$2
 +(Farmacologia!$B$3/2)
 +Farmacologia!$B$4
 +Farmacologia!$B$6
 +(FarmacologiaAvancadaCalculo!$A64)
 +(Farmacologia!$B$5-100)
 +(Farmacologia!$B$7*5)
 +(Farmacologia!$B$8*FarmacologiaAvancadaCalculo!C$1)</f>
        <v>676</v>
      </c>
      <c r="D64">
        <f>Farmacologia!$B$2
 +(Farmacologia!$B$3/2)
 +Farmacologia!$B$4
 +Farmacologia!$B$6
 +(FarmacologiaAvancadaCalculo!$A64)
 +(Farmacologia!$B$5-100)
 +(Farmacologia!$B$7*5)
 +(Farmacologia!$B$8*FarmacologiaAvancadaCalculo!D$1)</f>
        <v>681</v>
      </c>
      <c r="E64">
        <f>Farmacologia!$B$2
 +(Farmacologia!$B$3/2)
 +Farmacologia!$B$4
 +Farmacologia!$B$6
 +(FarmacologiaAvancadaCalculo!$A64)
 +(Farmacologia!$B$5-100)
 +(Farmacologia!$B$7*5)
 +(Farmacologia!$B$8*FarmacologiaAvancadaCalculo!E$1)</f>
        <v>686</v>
      </c>
      <c r="F64">
        <f>Farmacologia!$B$2
 +(Farmacologia!$B$3/2)
 +Farmacologia!$B$4
 +Farmacologia!$B$6
 +(FarmacologiaAvancadaCalculo!$A64)
 +(Farmacologia!$B$5-100)
 +(Farmacologia!$B$7*5)
 +(Farmacologia!$B$8*FarmacologiaAvancadaCalculo!F$1)</f>
        <v>691</v>
      </c>
      <c r="G64">
        <f>Farmacologia!$B$2
 +(Farmacologia!$B$3/2)
 +Farmacologia!$B$4
 +Farmacologia!$B$6
 +(FarmacologiaAvancadaCalculo!$A64)
 +(Farmacologia!$B$5-100)
 +(Farmacologia!$B$7*5)
 +(Farmacologia!$B$8*FarmacologiaAvancadaCalculo!G$1)</f>
        <v>696</v>
      </c>
      <c r="H64">
        <f>Farmacologia!$B$2
 +(Farmacologia!$B$3/2)
 +Farmacologia!$B$4
 +Farmacologia!$B$6
 +(FarmacologiaAvancadaCalculo!$A64)
 +(Farmacologia!$B$5-100)
 +(Farmacologia!$B$7*5)
 +(Farmacologia!$B$8*FarmacologiaAvancadaCalculo!H$1)</f>
        <v>701</v>
      </c>
      <c r="M64">
        <v>647</v>
      </c>
    </row>
    <row r="65" spans="1:13" x14ac:dyDescent="0.25">
      <c r="A65">
        <v>93</v>
      </c>
      <c r="B65">
        <f>Farmacologia!$B$2
 +(Farmacologia!$B$3/2)
 +Farmacologia!$B$4
 +Farmacologia!$B$6
 +(FarmacologiaAvancadaCalculo!$A65)
 +(Farmacologia!$B$5-100)
 +(Farmacologia!$B$7*5)
 +(Farmacologia!$B$8*FarmacologiaAvancadaCalculo!B$1)</f>
        <v>672</v>
      </c>
      <c r="C65">
        <f>Farmacologia!$B$2
 +(Farmacologia!$B$3/2)
 +Farmacologia!$B$4
 +Farmacologia!$B$6
 +(FarmacologiaAvancadaCalculo!$A65)
 +(Farmacologia!$B$5-100)
 +(Farmacologia!$B$7*5)
 +(Farmacologia!$B$8*FarmacologiaAvancadaCalculo!C$1)</f>
        <v>677</v>
      </c>
      <c r="D65">
        <f>Farmacologia!$B$2
 +(Farmacologia!$B$3/2)
 +Farmacologia!$B$4
 +Farmacologia!$B$6
 +(FarmacologiaAvancadaCalculo!$A65)
 +(Farmacologia!$B$5-100)
 +(Farmacologia!$B$7*5)
 +(Farmacologia!$B$8*FarmacologiaAvancadaCalculo!D$1)</f>
        <v>682</v>
      </c>
      <c r="E65">
        <f>Farmacologia!$B$2
 +(Farmacologia!$B$3/2)
 +Farmacologia!$B$4
 +Farmacologia!$B$6
 +(FarmacologiaAvancadaCalculo!$A65)
 +(Farmacologia!$B$5-100)
 +(Farmacologia!$B$7*5)
 +(Farmacologia!$B$8*FarmacologiaAvancadaCalculo!E$1)</f>
        <v>687</v>
      </c>
      <c r="F65">
        <f>Farmacologia!$B$2
 +(Farmacologia!$B$3/2)
 +Farmacologia!$B$4
 +Farmacologia!$B$6
 +(FarmacologiaAvancadaCalculo!$A65)
 +(Farmacologia!$B$5-100)
 +(Farmacologia!$B$7*5)
 +(Farmacologia!$B$8*FarmacologiaAvancadaCalculo!F$1)</f>
        <v>692</v>
      </c>
      <c r="G65">
        <f>Farmacologia!$B$2
 +(Farmacologia!$B$3/2)
 +Farmacologia!$B$4
 +Farmacologia!$B$6
 +(FarmacologiaAvancadaCalculo!$A65)
 +(Farmacologia!$B$5-100)
 +(Farmacologia!$B$7*5)
 +(Farmacologia!$B$8*FarmacologiaAvancadaCalculo!G$1)</f>
        <v>697</v>
      </c>
      <c r="H65">
        <f>Farmacologia!$B$2
 +(Farmacologia!$B$3/2)
 +Farmacologia!$B$4
 +Farmacologia!$B$6
 +(FarmacologiaAvancadaCalculo!$A65)
 +(Farmacologia!$B$5-100)
 +(Farmacologia!$B$7*5)
 +(Farmacologia!$B$8*FarmacologiaAvancadaCalculo!H$1)</f>
        <v>702</v>
      </c>
      <c r="M65">
        <v>618</v>
      </c>
    </row>
    <row r="66" spans="1:13" x14ac:dyDescent="0.25">
      <c r="A66">
        <v>94</v>
      </c>
      <c r="B66">
        <f>Farmacologia!$B$2
 +(Farmacologia!$B$3/2)
 +Farmacologia!$B$4
 +Farmacologia!$B$6
 +(FarmacologiaAvancadaCalculo!$A66)
 +(Farmacologia!$B$5-100)
 +(Farmacologia!$B$7*5)
 +(Farmacologia!$B$8*FarmacologiaAvancadaCalculo!B$1)</f>
        <v>673</v>
      </c>
      <c r="C66">
        <f>Farmacologia!$B$2
 +(Farmacologia!$B$3/2)
 +Farmacologia!$B$4
 +Farmacologia!$B$6
 +(FarmacologiaAvancadaCalculo!$A66)
 +(Farmacologia!$B$5-100)
 +(Farmacologia!$B$7*5)
 +(Farmacologia!$B$8*FarmacologiaAvancadaCalculo!C$1)</f>
        <v>678</v>
      </c>
      <c r="D66">
        <f>Farmacologia!$B$2
 +(Farmacologia!$B$3/2)
 +Farmacologia!$B$4
 +Farmacologia!$B$6
 +(FarmacologiaAvancadaCalculo!$A66)
 +(Farmacologia!$B$5-100)
 +(Farmacologia!$B$7*5)
 +(Farmacologia!$B$8*FarmacologiaAvancadaCalculo!D$1)</f>
        <v>683</v>
      </c>
      <c r="E66">
        <f>Farmacologia!$B$2
 +(Farmacologia!$B$3/2)
 +Farmacologia!$B$4
 +Farmacologia!$B$6
 +(FarmacologiaAvancadaCalculo!$A66)
 +(Farmacologia!$B$5-100)
 +(Farmacologia!$B$7*5)
 +(Farmacologia!$B$8*FarmacologiaAvancadaCalculo!E$1)</f>
        <v>688</v>
      </c>
      <c r="F66">
        <f>Farmacologia!$B$2
 +(Farmacologia!$B$3/2)
 +Farmacologia!$B$4
 +Farmacologia!$B$6
 +(FarmacologiaAvancadaCalculo!$A66)
 +(Farmacologia!$B$5-100)
 +(Farmacologia!$B$7*5)
 +(Farmacologia!$B$8*FarmacologiaAvancadaCalculo!F$1)</f>
        <v>693</v>
      </c>
      <c r="G66">
        <f>Farmacologia!$B$2
 +(Farmacologia!$B$3/2)
 +Farmacologia!$B$4
 +Farmacologia!$B$6
 +(FarmacologiaAvancadaCalculo!$A66)
 +(Farmacologia!$B$5-100)
 +(Farmacologia!$B$7*5)
 +(Farmacologia!$B$8*FarmacologiaAvancadaCalculo!G$1)</f>
        <v>698</v>
      </c>
      <c r="H66">
        <f>Farmacologia!$B$2
 +(Farmacologia!$B$3/2)
 +Farmacologia!$B$4
 +Farmacologia!$B$6
 +(FarmacologiaAvancadaCalculo!$A66)
 +(Farmacologia!$B$5-100)
 +(Farmacologia!$B$7*5)
 +(Farmacologia!$B$8*FarmacologiaAvancadaCalculo!H$1)</f>
        <v>703</v>
      </c>
      <c r="M66">
        <v>623</v>
      </c>
    </row>
    <row r="67" spans="1:13" x14ac:dyDescent="0.25">
      <c r="A67">
        <v>95</v>
      </c>
      <c r="B67">
        <f>Farmacologia!$B$2
 +(Farmacologia!$B$3/2)
 +Farmacologia!$B$4
 +Farmacologia!$B$6
 +(FarmacologiaAvancadaCalculo!$A67)
 +(Farmacologia!$B$5-100)
 +(Farmacologia!$B$7*5)
 +(Farmacologia!$B$8*FarmacologiaAvancadaCalculo!B$1)</f>
        <v>674</v>
      </c>
      <c r="C67">
        <f>Farmacologia!$B$2
 +(Farmacologia!$B$3/2)
 +Farmacologia!$B$4
 +Farmacologia!$B$6
 +(FarmacologiaAvancadaCalculo!$A67)
 +(Farmacologia!$B$5-100)
 +(Farmacologia!$B$7*5)
 +(Farmacologia!$B$8*FarmacologiaAvancadaCalculo!C$1)</f>
        <v>679</v>
      </c>
      <c r="D67">
        <f>Farmacologia!$B$2
 +(Farmacologia!$B$3/2)
 +Farmacologia!$B$4
 +Farmacologia!$B$6
 +(FarmacologiaAvancadaCalculo!$A67)
 +(Farmacologia!$B$5-100)
 +(Farmacologia!$B$7*5)
 +(Farmacologia!$B$8*FarmacologiaAvancadaCalculo!D$1)</f>
        <v>684</v>
      </c>
      <c r="E67">
        <f>Farmacologia!$B$2
 +(Farmacologia!$B$3/2)
 +Farmacologia!$B$4
 +Farmacologia!$B$6
 +(FarmacologiaAvancadaCalculo!$A67)
 +(Farmacologia!$B$5-100)
 +(Farmacologia!$B$7*5)
 +(Farmacologia!$B$8*FarmacologiaAvancadaCalculo!E$1)</f>
        <v>689</v>
      </c>
      <c r="F67">
        <f>Farmacologia!$B$2
 +(Farmacologia!$B$3/2)
 +Farmacologia!$B$4
 +Farmacologia!$B$6
 +(FarmacologiaAvancadaCalculo!$A67)
 +(Farmacologia!$B$5-100)
 +(Farmacologia!$B$7*5)
 +(Farmacologia!$B$8*FarmacologiaAvancadaCalculo!F$1)</f>
        <v>694</v>
      </c>
      <c r="G67">
        <f>Farmacologia!$B$2
 +(Farmacologia!$B$3/2)
 +Farmacologia!$B$4
 +Farmacologia!$B$6
 +(FarmacologiaAvancadaCalculo!$A67)
 +(Farmacologia!$B$5-100)
 +(Farmacologia!$B$7*5)
 +(Farmacologia!$B$8*FarmacologiaAvancadaCalculo!G$1)</f>
        <v>699</v>
      </c>
      <c r="H67">
        <f>Farmacologia!$B$2
 +(Farmacologia!$B$3/2)
 +Farmacologia!$B$4
 +Farmacologia!$B$6
 +(FarmacologiaAvancadaCalculo!$A67)
 +(Farmacologia!$B$5-100)
 +(Farmacologia!$B$7*5)
 +(Farmacologia!$B$8*FarmacologiaAvancadaCalculo!H$1)</f>
        <v>704</v>
      </c>
      <c r="M67">
        <v>628</v>
      </c>
    </row>
    <row r="68" spans="1:13" x14ac:dyDescent="0.25">
      <c r="A68">
        <v>96</v>
      </c>
      <c r="B68">
        <f>Farmacologia!$B$2
 +(Farmacologia!$B$3/2)
 +Farmacologia!$B$4
 +Farmacologia!$B$6
 +(FarmacologiaAvancadaCalculo!$A68)
 +(Farmacologia!$B$5-100)
 +(Farmacologia!$B$7*5)
 +(Farmacologia!$B$8*FarmacologiaAvancadaCalculo!B$1)</f>
        <v>675</v>
      </c>
      <c r="C68">
        <f>Farmacologia!$B$2
 +(Farmacologia!$B$3/2)
 +Farmacologia!$B$4
 +Farmacologia!$B$6
 +(FarmacologiaAvancadaCalculo!$A68)
 +(Farmacologia!$B$5-100)
 +(Farmacologia!$B$7*5)
 +(Farmacologia!$B$8*FarmacologiaAvancadaCalculo!C$1)</f>
        <v>680</v>
      </c>
      <c r="D68">
        <f>Farmacologia!$B$2
 +(Farmacologia!$B$3/2)
 +Farmacologia!$B$4
 +Farmacologia!$B$6
 +(FarmacologiaAvancadaCalculo!$A68)
 +(Farmacologia!$B$5-100)
 +(Farmacologia!$B$7*5)
 +(Farmacologia!$B$8*FarmacologiaAvancadaCalculo!D$1)</f>
        <v>685</v>
      </c>
      <c r="E68">
        <f>Farmacologia!$B$2
 +(Farmacologia!$B$3/2)
 +Farmacologia!$B$4
 +Farmacologia!$B$6
 +(FarmacologiaAvancadaCalculo!$A68)
 +(Farmacologia!$B$5-100)
 +(Farmacologia!$B$7*5)
 +(Farmacologia!$B$8*FarmacologiaAvancadaCalculo!E$1)</f>
        <v>690</v>
      </c>
      <c r="F68">
        <f>Farmacologia!$B$2
 +(Farmacologia!$B$3/2)
 +Farmacologia!$B$4
 +Farmacologia!$B$6
 +(FarmacologiaAvancadaCalculo!$A68)
 +(Farmacologia!$B$5-100)
 +(Farmacologia!$B$7*5)
 +(Farmacologia!$B$8*FarmacologiaAvancadaCalculo!F$1)</f>
        <v>695</v>
      </c>
      <c r="G68">
        <f>Farmacologia!$B$2
 +(Farmacologia!$B$3/2)
 +Farmacologia!$B$4
 +Farmacologia!$B$6
 +(FarmacologiaAvancadaCalculo!$A68)
 +(Farmacologia!$B$5-100)
 +(Farmacologia!$B$7*5)
 +(Farmacologia!$B$8*FarmacologiaAvancadaCalculo!G$1)</f>
        <v>700</v>
      </c>
      <c r="H68">
        <f>Farmacologia!$B$2
 +(Farmacologia!$B$3/2)
 +Farmacologia!$B$4
 +Farmacologia!$B$6
 +(FarmacologiaAvancadaCalculo!$A68)
 +(Farmacologia!$B$5-100)
 +(Farmacologia!$B$7*5)
 +(Farmacologia!$B$8*FarmacologiaAvancadaCalculo!H$1)</f>
        <v>705</v>
      </c>
      <c r="M68">
        <v>633</v>
      </c>
    </row>
    <row r="69" spans="1:13" x14ac:dyDescent="0.25">
      <c r="A69">
        <v>97</v>
      </c>
      <c r="B69">
        <f>Farmacologia!$B$2
 +(Farmacologia!$B$3/2)
 +Farmacologia!$B$4
 +Farmacologia!$B$6
 +(FarmacologiaAvancadaCalculo!$A69)
 +(Farmacologia!$B$5-100)
 +(Farmacologia!$B$7*5)
 +(Farmacologia!$B$8*FarmacologiaAvancadaCalculo!B$1)</f>
        <v>676</v>
      </c>
      <c r="C69">
        <f>Farmacologia!$B$2
 +(Farmacologia!$B$3/2)
 +Farmacologia!$B$4
 +Farmacologia!$B$6
 +(FarmacologiaAvancadaCalculo!$A69)
 +(Farmacologia!$B$5-100)
 +(Farmacologia!$B$7*5)
 +(Farmacologia!$B$8*FarmacologiaAvancadaCalculo!C$1)</f>
        <v>681</v>
      </c>
      <c r="D69">
        <f>Farmacologia!$B$2
 +(Farmacologia!$B$3/2)
 +Farmacologia!$B$4
 +Farmacologia!$B$6
 +(FarmacologiaAvancadaCalculo!$A69)
 +(Farmacologia!$B$5-100)
 +(Farmacologia!$B$7*5)
 +(Farmacologia!$B$8*FarmacologiaAvancadaCalculo!D$1)</f>
        <v>686</v>
      </c>
      <c r="E69">
        <f>Farmacologia!$B$2
 +(Farmacologia!$B$3/2)
 +Farmacologia!$B$4
 +Farmacologia!$B$6
 +(FarmacologiaAvancadaCalculo!$A69)
 +(Farmacologia!$B$5-100)
 +(Farmacologia!$B$7*5)
 +(Farmacologia!$B$8*FarmacologiaAvancadaCalculo!E$1)</f>
        <v>691</v>
      </c>
      <c r="F69">
        <f>Farmacologia!$B$2
 +(Farmacologia!$B$3/2)
 +Farmacologia!$B$4
 +Farmacologia!$B$6
 +(FarmacologiaAvancadaCalculo!$A69)
 +(Farmacologia!$B$5-100)
 +(Farmacologia!$B$7*5)
 +(Farmacologia!$B$8*FarmacologiaAvancadaCalculo!F$1)</f>
        <v>696</v>
      </c>
      <c r="G69">
        <f>Farmacologia!$B$2
 +(Farmacologia!$B$3/2)
 +Farmacologia!$B$4
 +Farmacologia!$B$6
 +(FarmacologiaAvancadaCalculo!$A69)
 +(Farmacologia!$B$5-100)
 +(Farmacologia!$B$7*5)
 +(Farmacologia!$B$8*FarmacologiaAvancadaCalculo!G$1)</f>
        <v>701</v>
      </c>
      <c r="H69">
        <f>Farmacologia!$B$2
 +(Farmacologia!$B$3/2)
 +Farmacologia!$B$4
 +Farmacologia!$B$6
 +(FarmacologiaAvancadaCalculo!$A69)
 +(Farmacologia!$B$5-100)
 +(Farmacologia!$B$7*5)
 +(Farmacologia!$B$8*FarmacologiaAvancadaCalculo!H$1)</f>
        <v>706</v>
      </c>
      <c r="M69">
        <v>638</v>
      </c>
    </row>
    <row r="70" spans="1:13" x14ac:dyDescent="0.25">
      <c r="A70">
        <v>98</v>
      </c>
      <c r="B70">
        <f>Farmacologia!$B$2
 +(Farmacologia!$B$3/2)
 +Farmacologia!$B$4
 +Farmacologia!$B$6
 +(FarmacologiaAvancadaCalculo!$A70)
 +(Farmacologia!$B$5-100)
 +(Farmacologia!$B$7*5)
 +(Farmacologia!$B$8*FarmacologiaAvancadaCalculo!B$1)</f>
        <v>677</v>
      </c>
      <c r="C70">
        <f>Farmacologia!$B$2
 +(Farmacologia!$B$3/2)
 +Farmacologia!$B$4
 +Farmacologia!$B$6
 +(FarmacologiaAvancadaCalculo!$A70)
 +(Farmacologia!$B$5-100)
 +(Farmacologia!$B$7*5)
 +(Farmacologia!$B$8*FarmacologiaAvancadaCalculo!C$1)</f>
        <v>682</v>
      </c>
      <c r="D70">
        <f>Farmacologia!$B$2
 +(Farmacologia!$B$3/2)
 +Farmacologia!$B$4
 +Farmacologia!$B$6
 +(FarmacologiaAvancadaCalculo!$A70)
 +(Farmacologia!$B$5-100)
 +(Farmacologia!$B$7*5)
 +(Farmacologia!$B$8*FarmacologiaAvancadaCalculo!D$1)</f>
        <v>687</v>
      </c>
      <c r="E70">
        <f>Farmacologia!$B$2
 +(Farmacologia!$B$3/2)
 +Farmacologia!$B$4
 +Farmacologia!$B$6
 +(FarmacologiaAvancadaCalculo!$A70)
 +(Farmacologia!$B$5-100)
 +(Farmacologia!$B$7*5)
 +(Farmacologia!$B$8*FarmacologiaAvancadaCalculo!E$1)</f>
        <v>692</v>
      </c>
      <c r="F70">
        <f>Farmacologia!$B$2
 +(Farmacologia!$B$3/2)
 +Farmacologia!$B$4
 +Farmacologia!$B$6
 +(FarmacologiaAvancadaCalculo!$A70)
 +(Farmacologia!$B$5-100)
 +(Farmacologia!$B$7*5)
 +(Farmacologia!$B$8*FarmacologiaAvancadaCalculo!F$1)</f>
        <v>697</v>
      </c>
      <c r="G70">
        <f>Farmacologia!$B$2
 +(Farmacologia!$B$3/2)
 +Farmacologia!$B$4
 +Farmacologia!$B$6
 +(FarmacologiaAvancadaCalculo!$A70)
 +(Farmacologia!$B$5-100)
 +(Farmacologia!$B$7*5)
 +(Farmacologia!$B$8*FarmacologiaAvancadaCalculo!G$1)</f>
        <v>702</v>
      </c>
      <c r="H70">
        <f>Farmacologia!$B$2
 +(Farmacologia!$B$3/2)
 +Farmacologia!$B$4
 +Farmacologia!$B$6
 +(FarmacologiaAvancadaCalculo!$A70)
 +(Farmacologia!$B$5-100)
 +(Farmacologia!$B$7*5)
 +(Farmacologia!$B$8*FarmacologiaAvancadaCalculo!H$1)</f>
        <v>707</v>
      </c>
      <c r="M70">
        <v>643</v>
      </c>
    </row>
    <row r="71" spans="1:13" x14ac:dyDescent="0.25">
      <c r="A71">
        <v>99</v>
      </c>
      <c r="B71">
        <f>Farmacologia!$B$2
 +(Farmacologia!$B$3/2)
 +Farmacologia!$B$4
 +Farmacologia!$B$6
 +(FarmacologiaAvancadaCalculo!$A71)
 +(Farmacologia!$B$5-100)
 +(Farmacologia!$B$7*5)
 +(Farmacologia!$B$8*FarmacologiaAvancadaCalculo!B$1)</f>
        <v>678</v>
      </c>
      <c r="C71">
        <f>Farmacologia!$B$2
 +(Farmacologia!$B$3/2)
 +Farmacologia!$B$4
 +Farmacologia!$B$6
 +(FarmacologiaAvancadaCalculo!$A71)
 +(Farmacologia!$B$5-100)
 +(Farmacologia!$B$7*5)
 +(Farmacologia!$B$8*FarmacologiaAvancadaCalculo!C$1)</f>
        <v>683</v>
      </c>
      <c r="D71">
        <f>Farmacologia!$B$2
 +(Farmacologia!$B$3/2)
 +Farmacologia!$B$4
 +Farmacologia!$B$6
 +(FarmacologiaAvancadaCalculo!$A71)
 +(Farmacologia!$B$5-100)
 +(Farmacologia!$B$7*5)
 +(Farmacologia!$B$8*FarmacologiaAvancadaCalculo!D$1)</f>
        <v>688</v>
      </c>
      <c r="E71">
        <f>Farmacologia!$B$2
 +(Farmacologia!$B$3/2)
 +Farmacologia!$B$4
 +Farmacologia!$B$6
 +(FarmacologiaAvancadaCalculo!$A71)
 +(Farmacologia!$B$5-100)
 +(Farmacologia!$B$7*5)
 +(Farmacologia!$B$8*FarmacologiaAvancadaCalculo!E$1)</f>
        <v>693</v>
      </c>
      <c r="F71">
        <f>Farmacologia!$B$2
 +(Farmacologia!$B$3/2)
 +Farmacologia!$B$4
 +Farmacologia!$B$6
 +(FarmacologiaAvancadaCalculo!$A71)
 +(Farmacologia!$B$5-100)
 +(Farmacologia!$B$7*5)
 +(Farmacologia!$B$8*FarmacologiaAvancadaCalculo!F$1)</f>
        <v>698</v>
      </c>
      <c r="G71">
        <f>Farmacologia!$B$2
 +(Farmacologia!$B$3/2)
 +Farmacologia!$B$4
 +Farmacologia!$B$6
 +(FarmacologiaAvancadaCalculo!$A71)
 +(Farmacologia!$B$5-100)
 +(Farmacologia!$B$7*5)
 +(Farmacologia!$B$8*FarmacologiaAvancadaCalculo!G$1)</f>
        <v>703</v>
      </c>
      <c r="H71">
        <f>Farmacologia!$B$2
 +(Farmacologia!$B$3/2)
 +Farmacologia!$B$4
 +Farmacologia!$B$6
 +(FarmacologiaAvancadaCalculo!$A71)
 +(Farmacologia!$B$5-100)
 +(Farmacologia!$B$7*5)
 +(Farmacologia!$B$8*FarmacologiaAvancadaCalculo!H$1)</f>
        <v>708</v>
      </c>
      <c r="M71">
        <v>648</v>
      </c>
    </row>
    <row r="72" spans="1:13" x14ac:dyDescent="0.25">
      <c r="A72">
        <v>100</v>
      </c>
      <c r="B72">
        <f>Farmacologia!$B$2
 +(Farmacologia!$B$3/2)
 +Farmacologia!$B$4
 +Farmacologia!$B$6
 +(FarmacologiaAvancadaCalculo!$A72)
 +(Farmacologia!$B$5-100)
 +(Farmacologia!$B$7*5)
 +(Farmacologia!$B$8*FarmacologiaAvancadaCalculo!B$1)</f>
        <v>679</v>
      </c>
      <c r="C72">
        <f>Farmacologia!$B$2
 +(Farmacologia!$B$3/2)
 +Farmacologia!$B$4
 +Farmacologia!$B$6
 +(FarmacologiaAvancadaCalculo!$A72)
 +(Farmacologia!$B$5-100)
 +(Farmacologia!$B$7*5)
 +(Farmacologia!$B$8*FarmacologiaAvancadaCalculo!C$1)</f>
        <v>684</v>
      </c>
      <c r="D72">
        <f>Farmacologia!$B$2
 +(Farmacologia!$B$3/2)
 +Farmacologia!$B$4
 +Farmacologia!$B$6
 +(FarmacologiaAvancadaCalculo!$A72)
 +(Farmacologia!$B$5-100)
 +(Farmacologia!$B$7*5)
 +(Farmacologia!$B$8*FarmacologiaAvancadaCalculo!D$1)</f>
        <v>689</v>
      </c>
      <c r="E72">
        <f>Farmacologia!$B$2
 +(Farmacologia!$B$3/2)
 +Farmacologia!$B$4
 +Farmacologia!$B$6
 +(FarmacologiaAvancadaCalculo!$A72)
 +(Farmacologia!$B$5-100)
 +(Farmacologia!$B$7*5)
 +(Farmacologia!$B$8*FarmacologiaAvancadaCalculo!E$1)</f>
        <v>694</v>
      </c>
      <c r="F72">
        <f>Farmacologia!$B$2
 +(Farmacologia!$B$3/2)
 +Farmacologia!$B$4
 +Farmacologia!$B$6
 +(FarmacologiaAvancadaCalculo!$A72)
 +(Farmacologia!$B$5-100)
 +(Farmacologia!$B$7*5)
 +(Farmacologia!$B$8*FarmacologiaAvancadaCalculo!F$1)</f>
        <v>699</v>
      </c>
      <c r="G72">
        <f>Farmacologia!$B$2
 +(Farmacologia!$B$3/2)
 +Farmacologia!$B$4
 +Farmacologia!$B$6
 +(FarmacologiaAvancadaCalculo!$A72)
 +(Farmacologia!$B$5-100)
 +(Farmacologia!$B$7*5)
 +(Farmacologia!$B$8*FarmacologiaAvancadaCalculo!G$1)</f>
        <v>704</v>
      </c>
      <c r="H72">
        <f>Farmacologia!$B$2
 +(Farmacologia!$B$3/2)
 +Farmacologia!$B$4
 +Farmacologia!$B$6
 +(FarmacologiaAvancadaCalculo!$A72)
 +(Farmacologia!$B$5-100)
 +(Farmacologia!$B$7*5)
 +(Farmacologia!$B$8*FarmacologiaAvancadaCalculo!H$1)</f>
        <v>709</v>
      </c>
      <c r="M72">
        <v>619</v>
      </c>
    </row>
    <row r="73" spans="1:13" x14ac:dyDescent="0.25">
      <c r="A73">
        <v>101</v>
      </c>
      <c r="B73">
        <f>Farmacologia!$B$2
 +(Farmacologia!$B$3/2)
 +Farmacologia!$B$4
 +Farmacologia!$B$6
 +(FarmacologiaAvancadaCalculo!$A73)
 +(Farmacologia!$B$5-100)
 +(Farmacologia!$B$7*5)
 +(Farmacologia!$B$8*FarmacologiaAvancadaCalculo!B$1)</f>
        <v>680</v>
      </c>
      <c r="C73">
        <f>Farmacologia!$B$2
 +(Farmacologia!$B$3/2)
 +Farmacologia!$B$4
 +Farmacologia!$B$6
 +(FarmacologiaAvancadaCalculo!$A73)
 +(Farmacologia!$B$5-100)
 +(Farmacologia!$B$7*5)
 +(Farmacologia!$B$8*FarmacologiaAvancadaCalculo!C$1)</f>
        <v>685</v>
      </c>
      <c r="D73">
        <f>Farmacologia!$B$2
 +(Farmacologia!$B$3/2)
 +Farmacologia!$B$4
 +Farmacologia!$B$6
 +(FarmacologiaAvancadaCalculo!$A73)
 +(Farmacologia!$B$5-100)
 +(Farmacologia!$B$7*5)
 +(Farmacologia!$B$8*FarmacologiaAvancadaCalculo!D$1)</f>
        <v>690</v>
      </c>
      <c r="E73">
        <f>Farmacologia!$B$2
 +(Farmacologia!$B$3/2)
 +Farmacologia!$B$4
 +Farmacologia!$B$6
 +(FarmacologiaAvancadaCalculo!$A73)
 +(Farmacologia!$B$5-100)
 +(Farmacologia!$B$7*5)
 +(Farmacologia!$B$8*FarmacologiaAvancadaCalculo!E$1)</f>
        <v>695</v>
      </c>
      <c r="F73">
        <f>Farmacologia!$B$2
 +(Farmacologia!$B$3/2)
 +Farmacologia!$B$4
 +Farmacologia!$B$6
 +(FarmacologiaAvancadaCalculo!$A73)
 +(Farmacologia!$B$5-100)
 +(Farmacologia!$B$7*5)
 +(Farmacologia!$B$8*FarmacologiaAvancadaCalculo!F$1)</f>
        <v>700</v>
      </c>
      <c r="G73">
        <f>Farmacologia!$B$2
 +(Farmacologia!$B$3/2)
 +Farmacologia!$B$4
 +Farmacologia!$B$6
 +(FarmacologiaAvancadaCalculo!$A73)
 +(Farmacologia!$B$5-100)
 +(Farmacologia!$B$7*5)
 +(Farmacologia!$B$8*FarmacologiaAvancadaCalculo!G$1)</f>
        <v>705</v>
      </c>
      <c r="H73">
        <f>Farmacologia!$B$2
 +(Farmacologia!$B$3/2)
 +Farmacologia!$B$4
 +Farmacologia!$B$6
 +(FarmacologiaAvancadaCalculo!$A73)
 +(Farmacologia!$B$5-100)
 +(Farmacologia!$B$7*5)
 +(Farmacologia!$B$8*FarmacologiaAvancadaCalculo!H$1)</f>
        <v>710</v>
      </c>
      <c r="M73">
        <v>624</v>
      </c>
    </row>
    <row r="74" spans="1:13" x14ac:dyDescent="0.25">
      <c r="A74">
        <v>102</v>
      </c>
      <c r="B74">
        <f>Farmacologia!$B$2
 +(Farmacologia!$B$3/2)
 +Farmacologia!$B$4
 +Farmacologia!$B$6
 +(FarmacologiaAvancadaCalculo!$A74)
 +(Farmacologia!$B$5-100)
 +(Farmacologia!$B$7*5)
 +(Farmacologia!$B$8*FarmacologiaAvancadaCalculo!B$1)</f>
        <v>681</v>
      </c>
      <c r="C74">
        <f>Farmacologia!$B$2
 +(Farmacologia!$B$3/2)
 +Farmacologia!$B$4
 +Farmacologia!$B$6
 +(FarmacologiaAvancadaCalculo!$A74)
 +(Farmacologia!$B$5-100)
 +(Farmacologia!$B$7*5)
 +(Farmacologia!$B$8*FarmacologiaAvancadaCalculo!C$1)</f>
        <v>686</v>
      </c>
      <c r="D74">
        <f>Farmacologia!$B$2
 +(Farmacologia!$B$3/2)
 +Farmacologia!$B$4
 +Farmacologia!$B$6
 +(FarmacologiaAvancadaCalculo!$A74)
 +(Farmacologia!$B$5-100)
 +(Farmacologia!$B$7*5)
 +(Farmacologia!$B$8*FarmacologiaAvancadaCalculo!D$1)</f>
        <v>691</v>
      </c>
      <c r="E74">
        <f>Farmacologia!$B$2
 +(Farmacologia!$B$3/2)
 +Farmacologia!$B$4
 +Farmacologia!$B$6
 +(FarmacologiaAvancadaCalculo!$A74)
 +(Farmacologia!$B$5-100)
 +(Farmacologia!$B$7*5)
 +(Farmacologia!$B$8*FarmacologiaAvancadaCalculo!E$1)</f>
        <v>696</v>
      </c>
      <c r="F74">
        <f>Farmacologia!$B$2
 +(Farmacologia!$B$3/2)
 +Farmacologia!$B$4
 +Farmacologia!$B$6
 +(FarmacologiaAvancadaCalculo!$A74)
 +(Farmacologia!$B$5-100)
 +(Farmacologia!$B$7*5)
 +(Farmacologia!$B$8*FarmacologiaAvancadaCalculo!F$1)</f>
        <v>701</v>
      </c>
      <c r="G74">
        <f>Farmacologia!$B$2
 +(Farmacologia!$B$3/2)
 +Farmacologia!$B$4
 +Farmacologia!$B$6
 +(FarmacologiaAvancadaCalculo!$A74)
 +(Farmacologia!$B$5-100)
 +(Farmacologia!$B$7*5)
 +(Farmacologia!$B$8*FarmacologiaAvancadaCalculo!G$1)</f>
        <v>706</v>
      </c>
      <c r="H74">
        <f>Farmacologia!$B$2
 +(Farmacologia!$B$3/2)
 +Farmacologia!$B$4
 +Farmacologia!$B$6
 +(FarmacologiaAvancadaCalculo!$A74)
 +(Farmacologia!$B$5-100)
 +(Farmacologia!$B$7*5)
 +(Farmacologia!$B$8*FarmacologiaAvancadaCalculo!H$1)</f>
        <v>711</v>
      </c>
      <c r="M74">
        <v>629</v>
      </c>
    </row>
    <row r="75" spans="1:13" x14ac:dyDescent="0.25">
      <c r="A75">
        <v>103</v>
      </c>
      <c r="B75">
        <f>Farmacologia!$B$2
 +(Farmacologia!$B$3/2)
 +Farmacologia!$B$4
 +Farmacologia!$B$6
 +(FarmacologiaAvancadaCalculo!$A75)
 +(Farmacologia!$B$5-100)
 +(Farmacologia!$B$7*5)
 +(Farmacologia!$B$8*FarmacologiaAvancadaCalculo!B$1)</f>
        <v>682</v>
      </c>
      <c r="C75">
        <f>Farmacologia!$B$2
 +(Farmacologia!$B$3/2)
 +Farmacologia!$B$4
 +Farmacologia!$B$6
 +(FarmacologiaAvancadaCalculo!$A75)
 +(Farmacologia!$B$5-100)
 +(Farmacologia!$B$7*5)
 +(Farmacologia!$B$8*FarmacologiaAvancadaCalculo!C$1)</f>
        <v>687</v>
      </c>
      <c r="D75">
        <f>Farmacologia!$B$2
 +(Farmacologia!$B$3/2)
 +Farmacologia!$B$4
 +Farmacologia!$B$6
 +(FarmacologiaAvancadaCalculo!$A75)
 +(Farmacologia!$B$5-100)
 +(Farmacologia!$B$7*5)
 +(Farmacologia!$B$8*FarmacologiaAvancadaCalculo!D$1)</f>
        <v>692</v>
      </c>
      <c r="E75">
        <f>Farmacologia!$B$2
 +(Farmacologia!$B$3/2)
 +Farmacologia!$B$4
 +Farmacologia!$B$6
 +(FarmacologiaAvancadaCalculo!$A75)
 +(Farmacologia!$B$5-100)
 +(Farmacologia!$B$7*5)
 +(Farmacologia!$B$8*FarmacologiaAvancadaCalculo!E$1)</f>
        <v>697</v>
      </c>
      <c r="F75">
        <f>Farmacologia!$B$2
 +(Farmacologia!$B$3/2)
 +Farmacologia!$B$4
 +Farmacologia!$B$6
 +(FarmacologiaAvancadaCalculo!$A75)
 +(Farmacologia!$B$5-100)
 +(Farmacologia!$B$7*5)
 +(Farmacologia!$B$8*FarmacologiaAvancadaCalculo!F$1)</f>
        <v>702</v>
      </c>
      <c r="G75">
        <f>Farmacologia!$B$2
 +(Farmacologia!$B$3/2)
 +Farmacologia!$B$4
 +Farmacologia!$B$6
 +(FarmacologiaAvancadaCalculo!$A75)
 +(Farmacologia!$B$5-100)
 +(Farmacologia!$B$7*5)
 +(Farmacologia!$B$8*FarmacologiaAvancadaCalculo!G$1)</f>
        <v>707</v>
      </c>
      <c r="H75">
        <f>Farmacologia!$B$2
 +(Farmacologia!$B$3/2)
 +Farmacologia!$B$4
 +Farmacologia!$B$6
 +(FarmacologiaAvancadaCalculo!$A75)
 +(Farmacologia!$B$5-100)
 +(Farmacologia!$B$7*5)
 +(Farmacologia!$B$8*FarmacologiaAvancadaCalculo!H$1)</f>
        <v>712</v>
      </c>
      <c r="M75">
        <v>634</v>
      </c>
    </row>
    <row r="76" spans="1:13" x14ac:dyDescent="0.25">
      <c r="A76">
        <v>104</v>
      </c>
      <c r="B76">
        <f>Farmacologia!$B$2
 +(Farmacologia!$B$3/2)
 +Farmacologia!$B$4
 +Farmacologia!$B$6
 +(FarmacologiaAvancadaCalculo!$A76)
 +(Farmacologia!$B$5-100)
 +(Farmacologia!$B$7*5)
 +(Farmacologia!$B$8*FarmacologiaAvancadaCalculo!B$1)</f>
        <v>683</v>
      </c>
      <c r="C76">
        <f>Farmacologia!$B$2
 +(Farmacologia!$B$3/2)
 +Farmacologia!$B$4
 +Farmacologia!$B$6
 +(FarmacologiaAvancadaCalculo!$A76)
 +(Farmacologia!$B$5-100)
 +(Farmacologia!$B$7*5)
 +(Farmacologia!$B$8*FarmacologiaAvancadaCalculo!C$1)</f>
        <v>688</v>
      </c>
      <c r="D76">
        <f>Farmacologia!$B$2
 +(Farmacologia!$B$3/2)
 +Farmacologia!$B$4
 +Farmacologia!$B$6
 +(FarmacologiaAvancadaCalculo!$A76)
 +(Farmacologia!$B$5-100)
 +(Farmacologia!$B$7*5)
 +(Farmacologia!$B$8*FarmacologiaAvancadaCalculo!D$1)</f>
        <v>693</v>
      </c>
      <c r="E76">
        <f>Farmacologia!$B$2
 +(Farmacologia!$B$3/2)
 +Farmacologia!$B$4
 +Farmacologia!$B$6
 +(FarmacologiaAvancadaCalculo!$A76)
 +(Farmacologia!$B$5-100)
 +(Farmacologia!$B$7*5)
 +(Farmacologia!$B$8*FarmacologiaAvancadaCalculo!E$1)</f>
        <v>698</v>
      </c>
      <c r="F76">
        <f>Farmacologia!$B$2
 +(Farmacologia!$B$3/2)
 +Farmacologia!$B$4
 +Farmacologia!$B$6
 +(FarmacologiaAvancadaCalculo!$A76)
 +(Farmacologia!$B$5-100)
 +(Farmacologia!$B$7*5)
 +(Farmacologia!$B$8*FarmacologiaAvancadaCalculo!F$1)</f>
        <v>703</v>
      </c>
      <c r="G76">
        <f>Farmacologia!$B$2
 +(Farmacologia!$B$3/2)
 +Farmacologia!$B$4
 +Farmacologia!$B$6
 +(FarmacologiaAvancadaCalculo!$A76)
 +(Farmacologia!$B$5-100)
 +(Farmacologia!$B$7*5)
 +(Farmacologia!$B$8*FarmacologiaAvancadaCalculo!G$1)</f>
        <v>708</v>
      </c>
      <c r="H76">
        <f>Farmacologia!$B$2
 +(Farmacologia!$B$3/2)
 +Farmacologia!$B$4
 +Farmacologia!$B$6
 +(FarmacologiaAvancadaCalculo!$A76)
 +(Farmacologia!$B$5-100)
 +(Farmacologia!$B$7*5)
 +(Farmacologia!$B$8*FarmacologiaAvancadaCalculo!H$1)</f>
        <v>713</v>
      </c>
      <c r="M76">
        <v>639</v>
      </c>
    </row>
    <row r="77" spans="1:13" x14ac:dyDescent="0.25">
      <c r="A77">
        <v>105</v>
      </c>
      <c r="B77">
        <f>Farmacologia!$B$2
 +(Farmacologia!$B$3/2)
 +Farmacologia!$B$4
 +Farmacologia!$B$6
 +(FarmacologiaAvancadaCalculo!$A77)
 +(Farmacologia!$B$5-100)
 +(Farmacologia!$B$7*5)
 +(Farmacologia!$B$8*FarmacologiaAvancadaCalculo!B$1)</f>
        <v>684</v>
      </c>
      <c r="C77">
        <f>Farmacologia!$B$2
 +(Farmacologia!$B$3/2)
 +Farmacologia!$B$4
 +Farmacologia!$B$6
 +(FarmacologiaAvancadaCalculo!$A77)
 +(Farmacologia!$B$5-100)
 +(Farmacologia!$B$7*5)
 +(Farmacologia!$B$8*FarmacologiaAvancadaCalculo!C$1)</f>
        <v>689</v>
      </c>
      <c r="D77">
        <f>Farmacologia!$B$2
 +(Farmacologia!$B$3/2)
 +Farmacologia!$B$4
 +Farmacologia!$B$6
 +(FarmacologiaAvancadaCalculo!$A77)
 +(Farmacologia!$B$5-100)
 +(Farmacologia!$B$7*5)
 +(Farmacologia!$B$8*FarmacologiaAvancadaCalculo!D$1)</f>
        <v>694</v>
      </c>
      <c r="E77">
        <f>Farmacologia!$B$2
 +(Farmacologia!$B$3/2)
 +Farmacologia!$B$4
 +Farmacologia!$B$6
 +(FarmacologiaAvancadaCalculo!$A77)
 +(Farmacologia!$B$5-100)
 +(Farmacologia!$B$7*5)
 +(Farmacologia!$B$8*FarmacologiaAvancadaCalculo!E$1)</f>
        <v>699</v>
      </c>
      <c r="F77">
        <f>Farmacologia!$B$2
 +(Farmacologia!$B$3/2)
 +Farmacologia!$B$4
 +Farmacologia!$B$6
 +(FarmacologiaAvancadaCalculo!$A77)
 +(Farmacologia!$B$5-100)
 +(Farmacologia!$B$7*5)
 +(Farmacologia!$B$8*FarmacologiaAvancadaCalculo!F$1)</f>
        <v>704</v>
      </c>
      <c r="G77">
        <f>Farmacologia!$B$2
 +(Farmacologia!$B$3/2)
 +Farmacologia!$B$4
 +Farmacologia!$B$6
 +(FarmacologiaAvancadaCalculo!$A77)
 +(Farmacologia!$B$5-100)
 +(Farmacologia!$B$7*5)
 +(Farmacologia!$B$8*FarmacologiaAvancadaCalculo!G$1)</f>
        <v>709</v>
      </c>
      <c r="H77">
        <f>Farmacologia!$B$2
 +(Farmacologia!$B$3/2)
 +Farmacologia!$B$4
 +Farmacologia!$B$6
 +(FarmacologiaAvancadaCalculo!$A77)
 +(Farmacologia!$B$5-100)
 +(Farmacologia!$B$7*5)
 +(Farmacologia!$B$8*FarmacologiaAvancadaCalculo!H$1)</f>
        <v>714</v>
      </c>
      <c r="M77">
        <v>644</v>
      </c>
    </row>
    <row r="78" spans="1:13" x14ac:dyDescent="0.25">
      <c r="A78">
        <v>106</v>
      </c>
      <c r="B78">
        <f>Farmacologia!$B$2
 +(Farmacologia!$B$3/2)
 +Farmacologia!$B$4
 +Farmacologia!$B$6
 +(FarmacologiaAvancadaCalculo!$A78)
 +(Farmacologia!$B$5-100)
 +(Farmacologia!$B$7*5)
 +(Farmacologia!$B$8*FarmacologiaAvancadaCalculo!B$1)</f>
        <v>685</v>
      </c>
      <c r="C78">
        <f>Farmacologia!$B$2
 +(Farmacologia!$B$3/2)
 +Farmacologia!$B$4
 +Farmacologia!$B$6
 +(FarmacologiaAvancadaCalculo!$A78)
 +(Farmacologia!$B$5-100)
 +(Farmacologia!$B$7*5)
 +(Farmacologia!$B$8*FarmacologiaAvancadaCalculo!C$1)</f>
        <v>690</v>
      </c>
      <c r="D78">
        <f>Farmacologia!$B$2
 +(Farmacologia!$B$3/2)
 +Farmacologia!$B$4
 +Farmacologia!$B$6
 +(FarmacologiaAvancadaCalculo!$A78)
 +(Farmacologia!$B$5-100)
 +(Farmacologia!$B$7*5)
 +(Farmacologia!$B$8*FarmacologiaAvancadaCalculo!D$1)</f>
        <v>695</v>
      </c>
      <c r="E78">
        <f>Farmacologia!$B$2
 +(Farmacologia!$B$3/2)
 +Farmacologia!$B$4
 +Farmacologia!$B$6
 +(FarmacologiaAvancadaCalculo!$A78)
 +(Farmacologia!$B$5-100)
 +(Farmacologia!$B$7*5)
 +(Farmacologia!$B$8*FarmacologiaAvancadaCalculo!E$1)</f>
        <v>700</v>
      </c>
      <c r="F78">
        <f>Farmacologia!$B$2
 +(Farmacologia!$B$3/2)
 +Farmacologia!$B$4
 +Farmacologia!$B$6
 +(FarmacologiaAvancadaCalculo!$A78)
 +(Farmacologia!$B$5-100)
 +(Farmacologia!$B$7*5)
 +(Farmacologia!$B$8*FarmacologiaAvancadaCalculo!F$1)</f>
        <v>705</v>
      </c>
      <c r="G78">
        <f>Farmacologia!$B$2
 +(Farmacologia!$B$3/2)
 +Farmacologia!$B$4
 +Farmacologia!$B$6
 +(FarmacologiaAvancadaCalculo!$A78)
 +(Farmacologia!$B$5-100)
 +(Farmacologia!$B$7*5)
 +(Farmacologia!$B$8*FarmacologiaAvancadaCalculo!G$1)</f>
        <v>710</v>
      </c>
      <c r="H78">
        <f>Farmacologia!$B$2
 +(Farmacologia!$B$3/2)
 +Farmacologia!$B$4
 +Farmacologia!$B$6
 +(FarmacologiaAvancadaCalculo!$A78)
 +(Farmacologia!$B$5-100)
 +(Farmacologia!$B$7*5)
 +(Farmacologia!$B$8*FarmacologiaAvancadaCalculo!H$1)</f>
        <v>715</v>
      </c>
      <c r="M78">
        <v>649</v>
      </c>
    </row>
    <row r="79" spans="1:13" x14ac:dyDescent="0.25">
      <c r="A79">
        <v>107</v>
      </c>
      <c r="B79">
        <f>Farmacologia!$B$2
 +(Farmacologia!$B$3/2)
 +Farmacologia!$B$4
 +Farmacologia!$B$6
 +(FarmacologiaAvancadaCalculo!$A79)
 +(Farmacologia!$B$5-100)
 +(Farmacologia!$B$7*5)
 +(Farmacologia!$B$8*FarmacologiaAvancadaCalculo!B$1)</f>
        <v>686</v>
      </c>
      <c r="C79">
        <f>Farmacologia!$B$2
 +(Farmacologia!$B$3/2)
 +Farmacologia!$B$4
 +Farmacologia!$B$6
 +(FarmacologiaAvancadaCalculo!$A79)
 +(Farmacologia!$B$5-100)
 +(Farmacologia!$B$7*5)
 +(Farmacologia!$B$8*FarmacologiaAvancadaCalculo!C$1)</f>
        <v>691</v>
      </c>
      <c r="D79">
        <f>Farmacologia!$B$2
 +(Farmacologia!$B$3/2)
 +Farmacologia!$B$4
 +Farmacologia!$B$6
 +(FarmacologiaAvancadaCalculo!$A79)
 +(Farmacologia!$B$5-100)
 +(Farmacologia!$B$7*5)
 +(Farmacologia!$B$8*FarmacologiaAvancadaCalculo!D$1)</f>
        <v>696</v>
      </c>
      <c r="E79">
        <f>Farmacologia!$B$2
 +(Farmacologia!$B$3/2)
 +Farmacologia!$B$4
 +Farmacologia!$B$6
 +(FarmacologiaAvancadaCalculo!$A79)
 +(Farmacologia!$B$5-100)
 +(Farmacologia!$B$7*5)
 +(Farmacologia!$B$8*FarmacologiaAvancadaCalculo!E$1)</f>
        <v>701</v>
      </c>
      <c r="F79">
        <f>Farmacologia!$B$2
 +(Farmacologia!$B$3/2)
 +Farmacologia!$B$4
 +Farmacologia!$B$6
 +(FarmacologiaAvancadaCalculo!$A79)
 +(Farmacologia!$B$5-100)
 +(Farmacologia!$B$7*5)
 +(Farmacologia!$B$8*FarmacologiaAvancadaCalculo!F$1)</f>
        <v>706</v>
      </c>
      <c r="G79">
        <f>Farmacologia!$B$2
 +(Farmacologia!$B$3/2)
 +Farmacologia!$B$4
 +Farmacologia!$B$6
 +(FarmacologiaAvancadaCalculo!$A79)
 +(Farmacologia!$B$5-100)
 +(Farmacologia!$B$7*5)
 +(Farmacologia!$B$8*FarmacologiaAvancadaCalculo!G$1)</f>
        <v>711</v>
      </c>
      <c r="H79">
        <f>Farmacologia!$B$2
 +(Farmacologia!$B$3/2)
 +Farmacologia!$B$4
 +Farmacologia!$B$6
 +(FarmacologiaAvancadaCalculo!$A79)
 +(Farmacologia!$B$5-100)
 +(Farmacologia!$B$7*5)
 +(Farmacologia!$B$8*FarmacologiaAvancadaCalculo!H$1)</f>
        <v>716</v>
      </c>
      <c r="M79">
        <v>620</v>
      </c>
    </row>
    <row r="80" spans="1:13" x14ac:dyDescent="0.25">
      <c r="A80">
        <v>108</v>
      </c>
      <c r="B80">
        <f>Farmacologia!$B$2
 +(Farmacologia!$B$3/2)
 +Farmacologia!$B$4
 +Farmacologia!$B$6
 +(FarmacologiaAvancadaCalculo!$A80)
 +(Farmacologia!$B$5-100)
 +(Farmacologia!$B$7*5)
 +(Farmacologia!$B$8*FarmacologiaAvancadaCalculo!B$1)</f>
        <v>687</v>
      </c>
      <c r="C80">
        <f>Farmacologia!$B$2
 +(Farmacologia!$B$3/2)
 +Farmacologia!$B$4
 +Farmacologia!$B$6
 +(FarmacologiaAvancadaCalculo!$A80)
 +(Farmacologia!$B$5-100)
 +(Farmacologia!$B$7*5)
 +(Farmacologia!$B$8*FarmacologiaAvancadaCalculo!C$1)</f>
        <v>692</v>
      </c>
      <c r="D80">
        <f>Farmacologia!$B$2
 +(Farmacologia!$B$3/2)
 +Farmacologia!$B$4
 +Farmacologia!$B$6
 +(FarmacologiaAvancadaCalculo!$A80)
 +(Farmacologia!$B$5-100)
 +(Farmacologia!$B$7*5)
 +(Farmacologia!$B$8*FarmacologiaAvancadaCalculo!D$1)</f>
        <v>697</v>
      </c>
      <c r="E80">
        <f>Farmacologia!$B$2
 +(Farmacologia!$B$3/2)
 +Farmacologia!$B$4
 +Farmacologia!$B$6
 +(FarmacologiaAvancadaCalculo!$A80)
 +(Farmacologia!$B$5-100)
 +(Farmacologia!$B$7*5)
 +(Farmacologia!$B$8*FarmacologiaAvancadaCalculo!E$1)</f>
        <v>702</v>
      </c>
      <c r="F80">
        <f>Farmacologia!$B$2
 +(Farmacologia!$B$3/2)
 +Farmacologia!$B$4
 +Farmacologia!$B$6
 +(FarmacologiaAvancadaCalculo!$A80)
 +(Farmacologia!$B$5-100)
 +(Farmacologia!$B$7*5)
 +(Farmacologia!$B$8*FarmacologiaAvancadaCalculo!F$1)</f>
        <v>707</v>
      </c>
      <c r="G80">
        <f>Farmacologia!$B$2
 +(Farmacologia!$B$3/2)
 +Farmacologia!$B$4
 +Farmacologia!$B$6
 +(FarmacologiaAvancadaCalculo!$A80)
 +(Farmacologia!$B$5-100)
 +(Farmacologia!$B$7*5)
 +(Farmacologia!$B$8*FarmacologiaAvancadaCalculo!G$1)</f>
        <v>712</v>
      </c>
      <c r="H80">
        <f>Farmacologia!$B$2
 +(Farmacologia!$B$3/2)
 +Farmacologia!$B$4
 +Farmacologia!$B$6
 +(FarmacologiaAvancadaCalculo!$A80)
 +(Farmacologia!$B$5-100)
 +(Farmacologia!$B$7*5)
 +(Farmacologia!$B$8*FarmacologiaAvancadaCalculo!H$1)</f>
        <v>717</v>
      </c>
      <c r="M80">
        <v>625</v>
      </c>
    </row>
    <row r="81" spans="1:13" x14ac:dyDescent="0.25">
      <c r="A81">
        <v>109</v>
      </c>
      <c r="B81">
        <f>Farmacologia!$B$2
 +(Farmacologia!$B$3/2)
 +Farmacologia!$B$4
 +Farmacologia!$B$6
 +(FarmacologiaAvancadaCalculo!$A81)
 +(Farmacologia!$B$5-100)
 +(Farmacologia!$B$7*5)
 +(Farmacologia!$B$8*FarmacologiaAvancadaCalculo!B$1)</f>
        <v>688</v>
      </c>
      <c r="C81">
        <f>Farmacologia!$B$2
 +(Farmacologia!$B$3/2)
 +Farmacologia!$B$4
 +Farmacologia!$B$6
 +(FarmacologiaAvancadaCalculo!$A81)
 +(Farmacologia!$B$5-100)
 +(Farmacologia!$B$7*5)
 +(Farmacologia!$B$8*FarmacologiaAvancadaCalculo!C$1)</f>
        <v>693</v>
      </c>
      <c r="D81">
        <f>Farmacologia!$B$2
 +(Farmacologia!$B$3/2)
 +Farmacologia!$B$4
 +Farmacologia!$B$6
 +(FarmacologiaAvancadaCalculo!$A81)
 +(Farmacologia!$B$5-100)
 +(Farmacologia!$B$7*5)
 +(Farmacologia!$B$8*FarmacologiaAvancadaCalculo!D$1)</f>
        <v>698</v>
      </c>
      <c r="E81">
        <f>Farmacologia!$B$2
 +(Farmacologia!$B$3/2)
 +Farmacologia!$B$4
 +Farmacologia!$B$6
 +(FarmacologiaAvancadaCalculo!$A81)
 +(Farmacologia!$B$5-100)
 +(Farmacologia!$B$7*5)
 +(Farmacologia!$B$8*FarmacologiaAvancadaCalculo!E$1)</f>
        <v>703</v>
      </c>
      <c r="F81">
        <f>Farmacologia!$B$2
 +(Farmacologia!$B$3/2)
 +Farmacologia!$B$4
 +Farmacologia!$B$6
 +(FarmacologiaAvancadaCalculo!$A81)
 +(Farmacologia!$B$5-100)
 +(Farmacologia!$B$7*5)
 +(Farmacologia!$B$8*FarmacologiaAvancadaCalculo!F$1)</f>
        <v>708</v>
      </c>
      <c r="G81">
        <f>Farmacologia!$B$2
 +(Farmacologia!$B$3/2)
 +Farmacologia!$B$4
 +Farmacologia!$B$6
 +(FarmacologiaAvancadaCalculo!$A81)
 +(Farmacologia!$B$5-100)
 +(Farmacologia!$B$7*5)
 +(Farmacologia!$B$8*FarmacologiaAvancadaCalculo!G$1)</f>
        <v>713</v>
      </c>
      <c r="H81">
        <f>Farmacologia!$B$2
 +(Farmacologia!$B$3/2)
 +Farmacologia!$B$4
 +Farmacologia!$B$6
 +(FarmacologiaAvancadaCalculo!$A81)
 +(Farmacologia!$B$5-100)
 +(Farmacologia!$B$7*5)
 +(Farmacologia!$B$8*FarmacologiaAvancadaCalculo!H$1)</f>
        <v>718</v>
      </c>
      <c r="M81">
        <v>630</v>
      </c>
    </row>
    <row r="82" spans="1:13" x14ac:dyDescent="0.25">
      <c r="A82">
        <v>110</v>
      </c>
      <c r="B82">
        <f>Farmacologia!$B$2
 +(Farmacologia!$B$3/2)
 +Farmacologia!$B$4
 +Farmacologia!$B$6
 +(FarmacologiaAvancadaCalculo!$A82)
 +(Farmacologia!$B$5-100)
 +(Farmacologia!$B$7*5)
 +(Farmacologia!$B$8*FarmacologiaAvancadaCalculo!B$1)</f>
        <v>689</v>
      </c>
      <c r="C82">
        <f>Farmacologia!$B$2
 +(Farmacologia!$B$3/2)
 +Farmacologia!$B$4
 +Farmacologia!$B$6
 +(FarmacologiaAvancadaCalculo!$A82)
 +(Farmacologia!$B$5-100)
 +(Farmacologia!$B$7*5)
 +(Farmacologia!$B$8*FarmacologiaAvancadaCalculo!C$1)</f>
        <v>694</v>
      </c>
      <c r="D82">
        <f>Farmacologia!$B$2
 +(Farmacologia!$B$3/2)
 +Farmacologia!$B$4
 +Farmacologia!$B$6
 +(FarmacologiaAvancadaCalculo!$A82)
 +(Farmacologia!$B$5-100)
 +(Farmacologia!$B$7*5)
 +(Farmacologia!$B$8*FarmacologiaAvancadaCalculo!D$1)</f>
        <v>699</v>
      </c>
      <c r="E82">
        <f>Farmacologia!$B$2
 +(Farmacologia!$B$3/2)
 +Farmacologia!$B$4
 +Farmacologia!$B$6
 +(FarmacologiaAvancadaCalculo!$A82)
 +(Farmacologia!$B$5-100)
 +(Farmacologia!$B$7*5)
 +(Farmacologia!$B$8*FarmacologiaAvancadaCalculo!E$1)</f>
        <v>704</v>
      </c>
      <c r="F82">
        <f>Farmacologia!$B$2
 +(Farmacologia!$B$3/2)
 +Farmacologia!$B$4
 +Farmacologia!$B$6
 +(FarmacologiaAvancadaCalculo!$A82)
 +(Farmacologia!$B$5-100)
 +(Farmacologia!$B$7*5)
 +(Farmacologia!$B$8*FarmacologiaAvancadaCalculo!F$1)</f>
        <v>709</v>
      </c>
      <c r="G82">
        <f>Farmacologia!$B$2
 +(Farmacologia!$B$3/2)
 +Farmacologia!$B$4
 +Farmacologia!$B$6
 +(FarmacologiaAvancadaCalculo!$A82)
 +(Farmacologia!$B$5-100)
 +(Farmacologia!$B$7*5)
 +(Farmacologia!$B$8*FarmacologiaAvancadaCalculo!G$1)</f>
        <v>714</v>
      </c>
      <c r="H82">
        <f>Farmacologia!$B$2
 +(Farmacologia!$B$3/2)
 +Farmacologia!$B$4
 +Farmacologia!$B$6
 +(FarmacologiaAvancadaCalculo!$A82)
 +(Farmacologia!$B$5-100)
 +(Farmacologia!$B$7*5)
 +(Farmacologia!$B$8*FarmacologiaAvancadaCalculo!H$1)</f>
        <v>719</v>
      </c>
      <c r="M82">
        <v>635</v>
      </c>
    </row>
    <row r="83" spans="1:13" x14ac:dyDescent="0.25">
      <c r="A83">
        <v>111</v>
      </c>
      <c r="B83">
        <f>Farmacologia!$B$2
 +(Farmacologia!$B$3/2)
 +Farmacologia!$B$4
 +Farmacologia!$B$6
 +(FarmacologiaAvancadaCalculo!$A83)
 +(Farmacologia!$B$5-100)
 +(Farmacologia!$B$7*5)
 +(Farmacologia!$B$8*FarmacologiaAvancadaCalculo!B$1)</f>
        <v>690</v>
      </c>
      <c r="C83">
        <f>Farmacologia!$B$2
 +(Farmacologia!$B$3/2)
 +Farmacologia!$B$4
 +Farmacologia!$B$6
 +(FarmacologiaAvancadaCalculo!$A83)
 +(Farmacologia!$B$5-100)
 +(Farmacologia!$B$7*5)
 +(Farmacologia!$B$8*FarmacologiaAvancadaCalculo!C$1)</f>
        <v>695</v>
      </c>
      <c r="D83">
        <f>Farmacologia!$B$2
 +(Farmacologia!$B$3/2)
 +Farmacologia!$B$4
 +Farmacologia!$B$6
 +(FarmacologiaAvancadaCalculo!$A83)
 +(Farmacologia!$B$5-100)
 +(Farmacologia!$B$7*5)
 +(Farmacologia!$B$8*FarmacologiaAvancadaCalculo!D$1)</f>
        <v>700</v>
      </c>
      <c r="E83">
        <f>Farmacologia!$B$2
 +(Farmacologia!$B$3/2)
 +Farmacologia!$B$4
 +Farmacologia!$B$6
 +(FarmacologiaAvancadaCalculo!$A83)
 +(Farmacologia!$B$5-100)
 +(Farmacologia!$B$7*5)
 +(Farmacologia!$B$8*FarmacologiaAvancadaCalculo!E$1)</f>
        <v>705</v>
      </c>
      <c r="F83">
        <f>Farmacologia!$B$2
 +(Farmacologia!$B$3/2)
 +Farmacologia!$B$4
 +Farmacologia!$B$6
 +(FarmacologiaAvancadaCalculo!$A83)
 +(Farmacologia!$B$5-100)
 +(Farmacologia!$B$7*5)
 +(Farmacologia!$B$8*FarmacologiaAvancadaCalculo!F$1)</f>
        <v>710</v>
      </c>
      <c r="G83">
        <f>Farmacologia!$B$2
 +(Farmacologia!$B$3/2)
 +Farmacologia!$B$4
 +Farmacologia!$B$6
 +(FarmacologiaAvancadaCalculo!$A83)
 +(Farmacologia!$B$5-100)
 +(Farmacologia!$B$7*5)
 +(Farmacologia!$B$8*FarmacologiaAvancadaCalculo!G$1)</f>
        <v>715</v>
      </c>
      <c r="H83">
        <f>Farmacologia!$B$2
 +(Farmacologia!$B$3/2)
 +Farmacologia!$B$4
 +Farmacologia!$B$6
 +(FarmacologiaAvancadaCalculo!$A83)
 +(Farmacologia!$B$5-100)
 +(Farmacologia!$B$7*5)
 +(Farmacologia!$B$8*FarmacologiaAvancadaCalculo!H$1)</f>
        <v>720</v>
      </c>
      <c r="M83">
        <v>640</v>
      </c>
    </row>
    <row r="84" spans="1:13" x14ac:dyDescent="0.25">
      <c r="A84">
        <v>112</v>
      </c>
      <c r="B84">
        <f>Farmacologia!$B$2
 +(Farmacologia!$B$3/2)
 +Farmacologia!$B$4
 +Farmacologia!$B$6
 +(FarmacologiaAvancadaCalculo!$A84)
 +(Farmacologia!$B$5-100)
 +(Farmacologia!$B$7*5)
 +(Farmacologia!$B$8*FarmacologiaAvancadaCalculo!B$1)</f>
        <v>691</v>
      </c>
      <c r="C84">
        <f>Farmacologia!$B$2
 +(Farmacologia!$B$3/2)
 +Farmacologia!$B$4
 +Farmacologia!$B$6
 +(FarmacologiaAvancadaCalculo!$A84)
 +(Farmacologia!$B$5-100)
 +(Farmacologia!$B$7*5)
 +(Farmacologia!$B$8*FarmacologiaAvancadaCalculo!C$1)</f>
        <v>696</v>
      </c>
      <c r="D84">
        <f>Farmacologia!$B$2
 +(Farmacologia!$B$3/2)
 +Farmacologia!$B$4
 +Farmacologia!$B$6
 +(FarmacologiaAvancadaCalculo!$A84)
 +(Farmacologia!$B$5-100)
 +(Farmacologia!$B$7*5)
 +(Farmacologia!$B$8*FarmacologiaAvancadaCalculo!D$1)</f>
        <v>701</v>
      </c>
      <c r="E84">
        <f>Farmacologia!$B$2
 +(Farmacologia!$B$3/2)
 +Farmacologia!$B$4
 +Farmacologia!$B$6
 +(FarmacologiaAvancadaCalculo!$A84)
 +(Farmacologia!$B$5-100)
 +(Farmacologia!$B$7*5)
 +(Farmacologia!$B$8*FarmacologiaAvancadaCalculo!E$1)</f>
        <v>706</v>
      </c>
      <c r="F84">
        <f>Farmacologia!$B$2
 +(Farmacologia!$B$3/2)
 +Farmacologia!$B$4
 +Farmacologia!$B$6
 +(FarmacologiaAvancadaCalculo!$A84)
 +(Farmacologia!$B$5-100)
 +(Farmacologia!$B$7*5)
 +(Farmacologia!$B$8*FarmacologiaAvancadaCalculo!F$1)</f>
        <v>711</v>
      </c>
      <c r="G84">
        <f>Farmacologia!$B$2
 +(Farmacologia!$B$3/2)
 +Farmacologia!$B$4
 +Farmacologia!$B$6
 +(FarmacologiaAvancadaCalculo!$A84)
 +(Farmacologia!$B$5-100)
 +(Farmacologia!$B$7*5)
 +(Farmacologia!$B$8*FarmacologiaAvancadaCalculo!G$1)</f>
        <v>716</v>
      </c>
      <c r="H84">
        <f>Farmacologia!$B$2
 +(Farmacologia!$B$3/2)
 +Farmacologia!$B$4
 +Farmacologia!$B$6
 +(FarmacologiaAvancadaCalculo!$A84)
 +(Farmacologia!$B$5-100)
 +(Farmacologia!$B$7*5)
 +(Farmacologia!$B$8*FarmacologiaAvancadaCalculo!H$1)</f>
        <v>721</v>
      </c>
      <c r="M84">
        <v>645</v>
      </c>
    </row>
    <row r="85" spans="1:13" x14ac:dyDescent="0.25">
      <c r="A85">
        <v>113</v>
      </c>
      <c r="B85">
        <f>Farmacologia!$B$2
 +(Farmacologia!$B$3/2)
 +Farmacologia!$B$4
 +Farmacologia!$B$6
 +(FarmacologiaAvancadaCalculo!$A85)
 +(Farmacologia!$B$5-100)
 +(Farmacologia!$B$7*5)
 +(Farmacologia!$B$8*FarmacologiaAvancadaCalculo!B$1)</f>
        <v>692</v>
      </c>
      <c r="C85">
        <f>Farmacologia!$B$2
 +(Farmacologia!$B$3/2)
 +Farmacologia!$B$4
 +Farmacologia!$B$6
 +(FarmacologiaAvancadaCalculo!$A85)
 +(Farmacologia!$B$5-100)
 +(Farmacologia!$B$7*5)
 +(Farmacologia!$B$8*FarmacologiaAvancadaCalculo!C$1)</f>
        <v>697</v>
      </c>
      <c r="D85">
        <f>Farmacologia!$B$2
 +(Farmacologia!$B$3/2)
 +Farmacologia!$B$4
 +Farmacologia!$B$6
 +(FarmacologiaAvancadaCalculo!$A85)
 +(Farmacologia!$B$5-100)
 +(Farmacologia!$B$7*5)
 +(Farmacologia!$B$8*FarmacologiaAvancadaCalculo!D$1)</f>
        <v>702</v>
      </c>
      <c r="E85">
        <f>Farmacologia!$B$2
 +(Farmacologia!$B$3/2)
 +Farmacologia!$B$4
 +Farmacologia!$B$6
 +(FarmacologiaAvancadaCalculo!$A85)
 +(Farmacologia!$B$5-100)
 +(Farmacologia!$B$7*5)
 +(Farmacologia!$B$8*FarmacologiaAvancadaCalculo!E$1)</f>
        <v>707</v>
      </c>
      <c r="F85">
        <f>Farmacologia!$B$2
 +(Farmacologia!$B$3/2)
 +Farmacologia!$B$4
 +Farmacologia!$B$6
 +(FarmacologiaAvancadaCalculo!$A85)
 +(Farmacologia!$B$5-100)
 +(Farmacologia!$B$7*5)
 +(Farmacologia!$B$8*FarmacologiaAvancadaCalculo!F$1)</f>
        <v>712</v>
      </c>
      <c r="G85">
        <f>Farmacologia!$B$2
 +(Farmacologia!$B$3/2)
 +Farmacologia!$B$4
 +Farmacologia!$B$6
 +(FarmacologiaAvancadaCalculo!$A85)
 +(Farmacologia!$B$5-100)
 +(Farmacologia!$B$7*5)
 +(Farmacologia!$B$8*FarmacologiaAvancadaCalculo!G$1)</f>
        <v>717</v>
      </c>
      <c r="H85">
        <f>Farmacologia!$B$2
 +(Farmacologia!$B$3/2)
 +Farmacologia!$B$4
 +Farmacologia!$B$6
 +(FarmacologiaAvancadaCalculo!$A85)
 +(Farmacologia!$B$5-100)
 +(Farmacologia!$B$7*5)
 +(Farmacologia!$B$8*FarmacologiaAvancadaCalculo!H$1)</f>
        <v>722</v>
      </c>
      <c r="M85">
        <v>650</v>
      </c>
    </row>
    <row r="86" spans="1:13" x14ac:dyDescent="0.25">
      <c r="A86">
        <v>114</v>
      </c>
      <c r="B86">
        <f>Farmacologia!$B$2
 +(Farmacologia!$B$3/2)
 +Farmacologia!$B$4
 +Farmacologia!$B$6
 +(FarmacologiaAvancadaCalculo!$A86)
 +(Farmacologia!$B$5-100)
 +(Farmacologia!$B$7*5)
 +(Farmacologia!$B$8*FarmacologiaAvancadaCalculo!B$1)</f>
        <v>693</v>
      </c>
      <c r="C86">
        <f>Farmacologia!$B$2
 +(Farmacologia!$B$3/2)
 +Farmacologia!$B$4
 +Farmacologia!$B$6
 +(FarmacologiaAvancadaCalculo!$A86)
 +(Farmacologia!$B$5-100)
 +(Farmacologia!$B$7*5)
 +(Farmacologia!$B$8*FarmacologiaAvancadaCalculo!C$1)</f>
        <v>698</v>
      </c>
      <c r="D86">
        <f>Farmacologia!$B$2
 +(Farmacologia!$B$3/2)
 +Farmacologia!$B$4
 +Farmacologia!$B$6
 +(FarmacologiaAvancadaCalculo!$A86)
 +(Farmacologia!$B$5-100)
 +(Farmacologia!$B$7*5)
 +(Farmacologia!$B$8*FarmacologiaAvancadaCalculo!D$1)</f>
        <v>703</v>
      </c>
      <c r="E86">
        <f>Farmacologia!$B$2
 +(Farmacologia!$B$3/2)
 +Farmacologia!$B$4
 +Farmacologia!$B$6
 +(FarmacologiaAvancadaCalculo!$A86)
 +(Farmacologia!$B$5-100)
 +(Farmacologia!$B$7*5)
 +(Farmacologia!$B$8*FarmacologiaAvancadaCalculo!E$1)</f>
        <v>708</v>
      </c>
      <c r="F86">
        <f>Farmacologia!$B$2
 +(Farmacologia!$B$3/2)
 +Farmacologia!$B$4
 +Farmacologia!$B$6
 +(FarmacologiaAvancadaCalculo!$A86)
 +(Farmacologia!$B$5-100)
 +(Farmacologia!$B$7*5)
 +(Farmacologia!$B$8*FarmacologiaAvancadaCalculo!F$1)</f>
        <v>713</v>
      </c>
      <c r="G86">
        <f>Farmacologia!$B$2
 +(Farmacologia!$B$3/2)
 +Farmacologia!$B$4
 +Farmacologia!$B$6
 +(FarmacologiaAvancadaCalculo!$A86)
 +(Farmacologia!$B$5-100)
 +(Farmacologia!$B$7*5)
 +(Farmacologia!$B$8*FarmacologiaAvancadaCalculo!G$1)</f>
        <v>718</v>
      </c>
      <c r="H86">
        <f>Farmacologia!$B$2
 +(Farmacologia!$B$3/2)
 +Farmacologia!$B$4
 +Farmacologia!$B$6
 +(FarmacologiaAvancadaCalculo!$A86)
 +(Farmacologia!$B$5-100)
 +(Farmacologia!$B$7*5)
 +(Farmacologia!$B$8*FarmacologiaAvancadaCalculo!H$1)</f>
        <v>723</v>
      </c>
      <c r="M86">
        <v>621</v>
      </c>
    </row>
    <row r="87" spans="1:13" x14ac:dyDescent="0.25">
      <c r="A87">
        <v>115</v>
      </c>
      <c r="B87">
        <f>Farmacologia!$B$2
 +(Farmacologia!$B$3/2)
 +Farmacologia!$B$4
 +Farmacologia!$B$6
 +(FarmacologiaAvancadaCalculo!$A87)
 +(Farmacologia!$B$5-100)
 +(Farmacologia!$B$7*5)
 +(Farmacologia!$B$8*FarmacologiaAvancadaCalculo!B$1)</f>
        <v>694</v>
      </c>
      <c r="C87">
        <f>Farmacologia!$B$2
 +(Farmacologia!$B$3/2)
 +Farmacologia!$B$4
 +Farmacologia!$B$6
 +(FarmacologiaAvancadaCalculo!$A87)
 +(Farmacologia!$B$5-100)
 +(Farmacologia!$B$7*5)
 +(Farmacologia!$B$8*FarmacologiaAvancadaCalculo!C$1)</f>
        <v>699</v>
      </c>
      <c r="D87">
        <f>Farmacologia!$B$2
 +(Farmacologia!$B$3/2)
 +Farmacologia!$B$4
 +Farmacologia!$B$6
 +(FarmacologiaAvancadaCalculo!$A87)
 +(Farmacologia!$B$5-100)
 +(Farmacologia!$B$7*5)
 +(Farmacologia!$B$8*FarmacologiaAvancadaCalculo!D$1)</f>
        <v>704</v>
      </c>
      <c r="E87">
        <f>Farmacologia!$B$2
 +(Farmacologia!$B$3/2)
 +Farmacologia!$B$4
 +Farmacologia!$B$6
 +(FarmacologiaAvancadaCalculo!$A87)
 +(Farmacologia!$B$5-100)
 +(Farmacologia!$B$7*5)
 +(Farmacologia!$B$8*FarmacologiaAvancadaCalculo!E$1)</f>
        <v>709</v>
      </c>
      <c r="F87">
        <f>Farmacologia!$B$2
 +(Farmacologia!$B$3/2)
 +Farmacologia!$B$4
 +Farmacologia!$B$6
 +(FarmacologiaAvancadaCalculo!$A87)
 +(Farmacologia!$B$5-100)
 +(Farmacologia!$B$7*5)
 +(Farmacologia!$B$8*FarmacologiaAvancadaCalculo!F$1)</f>
        <v>714</v>
      </c>
      <c r="G87">
        <f>Farmacologia!$B$2
 +(Farmacologia!$B$3/2)
 +Farmacologia!$B$4
 +Farmacologia!$B$6
 +(FarmacologiaAvancadaCalculo!$A87)
 +(Farmacologia!$B$5-100)
 +(Farmacologia!$B$7*5)
 +(Farmacologia!$B$8*FarmacologiaAvancadaCalculo!G$1)</f>
        <v>719</v>
      </c>
      <c r="H87">
        <f>Farmacologia!$B$2
 +(Farmacologia!$B$3/2)
 +Farmacologia!$B$4
 +Farmacologia!$B$6
 +(FarmacologiaAvancadaCalculo!$A87)
 +(Farmacologia!$B$5-100)
 +(Farmacologia!$B$7*5)
 +(Farmacologia!$B$8*FarmacologiaAvancadaCalculo!H$1)</f>
        <v>724</v>
      </c>
      <c r="M87">
        <v>626</v>
      </c>
    </row>
    <row r="88" spans="1:13" x14ac:dyDescent="0.25">
      <c r="A88">
        <v>116</v>
      </c>
      <c r="B88">
        <f>Farmacologia!$B$2
 +(Farmacologia!$B$3/2)
 +Farmacologia!$B$4
 +Farmacologia!$B$6
 +(FarmacologiaAvancadaCalculo!$A88)
 +(Farmacologia!$B$5-100)
 +(Farmacologia!$B$7*5)
 +(Farmacologia!$B$8*FarmacologiaAvancadaCalculo!B$1)</f>
        <v>695</v>
      </c>
      <c r="C88">
        <f>Farmacologia!$B$2
 +(Farmacologia!$B$3/2)
 +Farmacologia!$B$4
 +Farmacologia!$B$6
 +(FarmacologiaAvancadaCalculo!$A88)
 +(Farmacologia!$B$5-100)
 +(Farmacologia!$B$7*5)
 +(Farmacologia!$B$8*FarmacologiaAvancadaCalculo!C$1)</f>
        <v>700</v>
      </c>
      <c r="D88">
        <f>Farmacologia!$B$2
 +(Farmacologia!$B$3/2)
 +Farmacologia!$B$4
 +Farmacologia!$B$6
 +(FarmacologiaAvancadaCalculo!$A88)
 +(Farmacologia!$B$5-100)
 +(Farmacologia!$B$7*5)
 +(Farmacologia!$B$8*FarmacologiaAvancadaCalculo!D$1)</f>
        <v>705</v>
      </c>
      <c r="E88">
        <f>Farmacologia!$B$2
 +(Farmacologia!$B$3/2)
 +Farmacologia!$B$4
 +Farmacologia!$B$6
 +(FarmacologiaAvancadaCalculo!$A88)
 +(Farmacologia!$B$5-100)
 +(Farmacologia!$B$7*5)
 +(Farmacologia!$B$8*FarmacologiaAvancadaCalculo!E$1)</f>
        <v>710</v>
      </c>
      <c r="F88">
        <f>Farmacologia!$B$2
 +(Farmacologia!$B$3/2)
 +Farmacologia!$B$4
 +Farmacologia!$B$6
 +(FarmacologiaAvancadaCalculo!$A88)
 +(Farmacologia!$B$5-100)
 +(Farmacologia!$B$7*5)
 +(Farmacologia!$B$8*FarmacologiaAvancadaCalculo!F$1)</f>
        <v>715</v>
      </c>
      <c r="G88">
        <f>Farmacologia!$B$2
 +(Farmacologia!$B$3/2)
 +Farmacologia!$B$4
 +Farmacologia!$B$6
 +(FarmacologiaAvancadaCalculo!$A88)
 +(Farmacologia!$B$5-100)
 +(Farmacologia!$B$7*5)
 +(Farmacologia!$B$8*FarmacologiaAvancadaCalculo!G$1)</f>
        <v>720</v>
      </c>
      <c r="H88">
        <f>Farmacologia!$B$2
 +(Farmacologia!$B$3/2)
 +Farmacologia!$B$4
 +Farmacologia!$B$6
 +(FarmacologiaAvancadaCalculo!$A88)
 +(Farmacologia!$B$5-100)
 +(Farmacologia!$B$7*5)
 +(Farmacologia!$B$8*FarmacologiaAvancadaCalculo!H$1)</f>
        <v>725</v>
      </c>
      <c r="M88">
        <v>631</v>
      </c>
    </row>
    <row r="89" spans="1:13" x14ac:dyDescent="0.25">
      <c r="A89">
        <v>117</v>
      </c>
      <c r="B89">
        <f>Farmacologia!$B$2
 +(Farmacologia!$B$3/2)
 +Farmacologia!$B$4
 +Farmacologia!$B$6
 +(FarmacologiaAvancadaCalculo!$A89)
 +(Farmacologia!$B$5-100)
 +(Farmacologia!$B$7*5)
 +(Farmacologia!$B$8*FarmacologiaAvancadaCalculo!B$1)</f>
        <v>696</v>
      </c>
      <c r="C89">
        <f>Farmacologia!$B$2
 +(Farmacologia!$B$3/2)
 +Farmacologia!$B$4
 +Farmacologia!$B$6
 +(FarmacologiaAvancadaCalculo!$A89)
 +(Farmacologia!$B$5-100)
 +(Farmacologia!$B$7*5)
 +(Farmacologia!$B$8*FarmacologiaAvancadaCalculo!C$1)</f>
        <v>701</v>
      </c>
      <c r="D89">
        <f>Farmacologia!$B$2
 +(Farmacologia!$B$3/2)
 +Farmacologia!$B$4
 +Farmacologia!$B$6
 +(FarmacologiaAvancadaCalculo!$A89)
 +(Farmacologia!$B$5-100)
 +(Farmacologia!$B$7*5)
 +(Farmacologia!$B$8*FarmacologiaAvancadaCalculo!D$1)</f>
        <v>706</v>
      </c>
      <c r="E89">
        <f>Farmacologia!$B$2
 +(Farmacologia!$B$3/2)
 +Farmacologia!$B$4
 +Farmacologia!$B$6
 +(FarmacologiaAvancadaCalculo!$A89)
 +(Farmacologia!$B$5-100)
 +(Farmacologia!$B$7*5)
 +(Farmacologia!$B$8*FarmacologiaAvancadaCalculo!E$1)</f>
        <v>711</v>
      </c>
      <c r="F89">
        <f>Farmacologia!$B$2
 +(Farmacologia!$B$3/2)
 +Farmacologia!$B$4
 +Farmacologia!$B$6
 +(FarmacologiaAvancadaCalculo!$A89)
 +(Farmacologia!$B$5-100)
 +(Farmacologia!$B$7*5)
 +(Farmacologia!$B$8*FarmacologiaAvancadaCalculo!F$1)</f>
        <v>716</v>
      </c>
      <c r="G89">
        <f>Farmacologia!$B$2
 +(Farmacologia!$B$3/2)
 +Farmacologia!$B$4
 +Farmacologia!$B$6
 +(FarmacologiaAvancadaCalculo!$A89)
 +(Farmacologia!$B$5-100)
 +(Farmacologia!$B$7*5)
 +(Farmacologia!$B$8*FarmacologiaAvancadaCalculo!G$1)</f>
        <v>721</v>
      </c>
      <c r="H89">
        <f>Farmacologia!$B$2
 +(Farmacologia!$B$3/2)
 +Farmacologia!$B$4
 +Farmacologia!$B$6
 +(FarmacologiaAvancadaCalculo!$A89)
 +(Farmacologia!$B$5-100)
 +(Farmacologia!$B$7*5)
 +(Farmacologia!$B$8*FarmacologiaAvancadaCalculo!H$1)</f>
        <v>726</v>
      </c>
      <c r="M89">
        <v>636</v>
      </c>
    </row>
    <row r="90" spans="1:13" x14ac:dyDescent="0.25">
      <c r="A90">
        <v>118</v>
      </c>
      <c r="B90">
        <f>Farmacologia!$B$2
 +(Farmacologia!$B$3/2)
 +Farmacologia!$B$4
 +Farmacologia!$B$6
 +(FarmacologiaAvancadaCalculo!$A90)
 +(Farmacologia!$B$5-100)
 +(Farmacologia!$B$7*5)
 +(Farmacologia!$B$8*FarmacologiaAvancadaCalculo!B$1)</f>
        <v>697</v>
      </c>
      <c r="C90">
        <f>Farmacologia!$B$2
 +(Farmacologia!$B$3/2)
 +Farmacologia!$B$4
 +Farmacologia!$B$6
 +(FarmacologiaAvancadaCalculo!$A90)
 +(Farmacologia!$B$5-100)
 +(Farmacologia!$B$7*5)
 +(Farmacologia!$B$8*FarmacologiaAvancadaCalculo!C$1)</f>
        <v>702</v>
      </c>
      <c r="D90">
        <f>Farmacologia!$B$2
 +(Farmacologia!$B$3/2)
 +Farmacologia!$B$4
 +Farmacologia!$B$6
 +(FarmacologiaAvancadaCalculo!$A90)
 +(Farmacologia!$B$5-100)
 +(Farmacologia!$B$7*5)
 +(Farmacologia!$B$8*FarmacologiaAvancadaCalculo!D$1)</f>
        <v>707</v>
      </c>
      <c r="E90">
        <f>Farmacologia!$B$2
 +(Farmacologia!$B$3/2)
 +Farmacologia!$B$4
 +Farmacologia!$B$6
 +(FarmacologiaAvancadaCalculo!$A90)
 +(Farmacologia!$B$5-100)
 +(Farmacologia!$B$7*5)
 +(Farmacologia!$B$8*FarmacologiaAvancadaCalculo!E$1)</f>
        <v>712</v>
      </c>
      <c r="F90">
        <f>Farmacologia!$B$2
 +(Farmacologia!$B$3/2)
 +Farmacologia!$B$4
 +Farmacologia!$B$6
 +(FarmacologiaAvancadaCalculo!$A90)
 +(Farmacologia!$B$5-100)
 +(Farmacologia!$B$7*5)
 +(Farmacologia!$B$8*FarmacologiaAvancadaCalculo!F$1)</f>
        <v>717</v>
      </c>
      <c r="G90">
        <f>Farmacologia!$B$2
 +(Farmacologia!$B$3/2)
 +Farmacologia!$B$4
 +Farmacologia!$B$6
 +(FarmacologiaAvancadaCalculo!$A90)
 +(Farmacologia!$B$5-100)
 +(Farmacologia!$B$7*5)
 +(Farmacologia!$B$8*FarmacologiaAvancadaCalculo!G$1)</f>
        <v>722</v>
      </c>
      <c r="H90">
        <f>Farmacologia!$B$2
 +(Farmacologia!$B$3/2)
 +Farmacologia!$B$4
 +Farmacologia!$B$6
 +(FarmacologiaAvancadaCalculo!$A90)
 +(Farmacologia!$B$5-100)
 +(Farmacologia!$B$7*5)
 +(Farmacologia!$B$8*FarmacologiaAvancadaCalculo!H$1)</f>
        <v>727</v>
      </c>
      <c r="M90">
        <v>641</v>
      </c>
    </row>
    <row r="91" spans="1:13" x14ac:dyDescent="0.25">
      <c r="A91">
        <v>119</v>
      </c>
      <c r="B91">
        <f>Farmacologia!$B$2
 +(Farmacologia!$B$3/2)
 +Farmacologia!$B$4
 +Farmacologia!$B$6
 +(FarmacologiaAvancadaCalculo!$A91)
 +(Farmacologia!$B$5-100)
 +(Farmacologia!$B$7*5)
 +(Farmacologia!$B$8*FarmacologiaAvancadaCalculo!B$1)</f>
        <v>698</v>
      </c>
      <c r="C91">
        <f>Farmacologia!$B$2
 +(Farmacologia!$B$3/2)
 +Farmacologia!$B$4
 +Farmacologia!$B$6
 +(FarmacologiaAvancadaCalculo!$A91)
 +(Farmacologia!$B$5-100)
 +(Farmacologia!$B$7*5)
 +(Farmacologia!$B$8*FarmacologiaAvancadaCalculo!C$1)</f>
        <v>703</v>
      </c>
      <c r="D91">
        <f>Farmacologia!$B$2
 +(Farmacologia!$B$3/2)
 +Farmacologia!$B$4
 +Farmacologia!$B$6
 +(FarmacologiaAvancadaCalculo!$A91)
 +(Farmacologia!$B$5-100)
 +(Farmacologia!$B$7*5)
 +(Farmacologia!$B$8*FarmacologiaAvancadaCalculo!D$1)</f>
        <v>708</v>
      </c>
      <c r="E91">
        <f>Farmacologia!$B$2
 +(Farmacologia!$B$3/2)
 +Farmacologia!$B$4
 +Farmacologia!$B$6
 +(FarmacologiaAvancadaCalculo!$A91)
 +(Farmacologia!$B$5-100)
 +(Farmacologia!$B$7*5)
 +(Farmacologia!$B$8*FarmacologiaAvancadaCalculo!E$1)</f>
        <v>713</v>
      </c>
      <c r="F91">
        <f>Farmacologia!$B$2
 +(Farmacologia!$B$3/2)
 +Farmacologia!$B$4
 +Farmacologia!$B$6
 +(FarmacologiaAvancadaCalculo!$A91)
 +(Farmacologia!$B$5-100)
 +(Farmacologia!$B$7*5)
 +(Farmacologia!$B$8*FarmacologiaAvancadaCalculo!F$1)</f>
        <v>718</v>
      </c>
      <c r="G91">
        <f>Farmacologia!$B$2
 +(Farmacologia!$B$3/2)
 +Farmacologia!$B$4
 +Farmacologia!$B$6
 +(FarmacologiaAvancadaCalculo!$A91)
 +(Farmacologia!$B$5-100)
 +(Farmacologia!$B$7*5)
 +(Farmacologia!$B$8*FarmacologiaAvancadaCalculo!G$1)</f>
        <v>723</v>
      </c>
      <c r="H91">
        <f>Farmacologia!$B$2
 +(Farmacologia!$B$3/2)
 +Farmacologia!$B$4
 +Farmacologia!$B$6
 +(FarmacologiaAvancadaCalculo!$A91)
 +(Farmacologia!$B$5-100)
 +(Farmacologia!$B$7*5)
 +(Farmacologia!$B$8*FarmacologiaAvancadaCalculo!H$1)</f>
        <v>728</v>
      </c>
      <c r="M91">
        <v>646</v>
      </c>
    </row>
    <row r="92" spans="1:13" x14ac:dyDescent="0.25">
      <c r="A92">
        <v>120</v>
      </c>
      <c r="B92">
        <f>Farmacologia!$B$2
 +(Farmacologia!$B$3/2)
 +Farmacologia!$B$4
 +Farmacologia!$B$6
 +(FarmacologiaAvancadaCalculo!$A92)
 +(Farmacologia!$B$5-100)
 +(Farmacologia!$B$7*5)
 +(Farmacologia!$B$8*FarmacologiaAvancadaCalculo!B$1)</f>
        <v>699</v>
      </c>
      <c r="C92">
        <f>Farmacologia!$B$2
 +(Farmacologia!$B$3/2)
 +Farmacologia!$B$4
 +Farmacologia!$B$6
 +(FarmacologiaAvancadaCalculo!$A92)
 +(Farmacologia!$B$5-100)
 +(Farmacologia!$B$7*5)
 +(Farmacologia!$B$8*FarmacologiaAvancadaCalculo!C$1)</f>
        <v>704</v>
      </c>
      <c r="D92">
        <f>Farmacologia!$B$2
 +(Farmacologia!$B$3/2)
 +Farmacologia!$B$4
 +Farmacologia!$B$6
 +(FarmacologiaAvancadaCalculo!$A92)
 +(Farmacologia!$B$5-100)
 +(Farmacologia!$B$7*5)
 +(Farmacologia!$B$8*FarmacologiaAvancadaCalculo!D$1)</f>
        <v>709</v>
      </c>
      <c r="E92">
        <f>Farmacologia!$B$2
 +(Farmacologia!$B$3/2)
 +Farmacologia!$B$4
 +Farmacologia!$B$6
 +(FarmacologiaAvancadaCalculo!$A92)
 +(Farmacologia!$B$5-100)
 +(Farmacologia!$B$7*5)
 +(Farmacologia!$B$8*FarmacologiaAvancadaCalculo!E$1)</f>
        <v>714</v>
      </c>
      <c r="F92">
        <f>Farmacologia!$B$2
 +(Farmacologia!$B$3/2)
 +Farmacologia!$B$4
 +Farmacologia!$B$6
 +(FarmacologiaAvancadaCalculo!$A92)
 +(Farmacologia!$B$5-100)
 +(Farmacologia!$B$7*5)
 +(Farmacologia!$B$8*FarmacologiaAvancadaCalculo!F$1)</f>
        <v>719</v>
      </c>
      <c r="G92">
        <f>Farmacologia!$B$2
 +(Farmacologia!$B$3/2)
 +Farmacologia!$B$4
 +Farmacologia!$B$6
 +(FarmacologiaAvancadaCalculo!$A92)
 +(Farmacologia!$B$5-100)
 +(Farmacologia!$B$7*5)
 +(Farmacologia!$B$8*FarmacologiaAvancadaCalculo!G$1)</f>
        <v>724</v>
      </c>
      <c r="H92">
        <f>Farmacologia!$B$2
 +(Farmacologia!$B$3/2)
 +Farmacologia!$B$4
 +Farmacologia!$B$6
 +(FarmacologiaAvancadaCalculo!$A92)
 +(Farmacologia!$B$5-100)
 +(Farmacologia!$B$7*5)
 +(Farmacologia!$B$8*FarmacologiaAvancadaCalculo!H$1)</f>
        <v>729</v>
      </c>
      <c r="M92">
        <v>651</v>
      </c>
    </row>
    <row r="93" spans="1:13" x14ac:dyDescent="0.25">
      <c r="A93">
        <v>121</v>
      </c>
      <c r="B93">
        <f>Farmacologia!$B$2
 +(Farmacologia!$B$3/2)
 +Farmacologia!$B$4
 +Farmacologia!$B$6
 +(FarmacologiaAvancadaCalculo!$A93)
 +(Farmacologia!$B$5-100)
 +(Farmacologia!$B$7*5)
 +(Farmacologia!$B$8*FarmacologiaAvancadaCalculo!B$1)</f>
        <v>700</v>
      </c>
      <c r="C93">
        <f>Farmacologia!$B$2
 +(Farmacologia!$B$3/2)
 +Farmacologia!$B$4
 +Farmacologia!$B$6
 +(FarmacologiaAvancadaCalculo!$A93)
 +(Farmacologia!$B$5-100)
 +(Farmacologia!$B$7*5)
 +(Farmacologia!$B$8*FarmacologiaAvancadaCalculo!C$1)</f>
        <v>705</v>
      </c>
      <c r="D93">
        <f>Farmacologia!$B$2
 +(Farmacologia!$B$3/2)
 +Farmacologia!$B$4
 +Farmacologia!$B$6
 +(FarmacologiaAvancadaCalculo!$A93)
 +(Farmacologia!$B$5-100)
 +(Farmacologia!$B$7*5)
 +(Farmacologia!$B$8*FarmacologiaAvancadaCalculo!D$1)</f>
        <v>710</v>
      </c>
      <c r="E93">
        <f>Farmacologia!$B$2
 +(Farmacologia!$B$3/2)
 +Farmacologia!$B$4
 +Farmacologia!$B$6
 +(FarmacologiaAvancadaCalculo!$A93)
 +(Farmacologia!$B$5-100)
 +(Farmacologia!$B$7*5)
 +(Farmacologia!$B$8*FarmacologiaAvancadaCalculo!E$1)</f>
        <v>715</v>
      </c>
      <c r="F93">
        <f>Farmacologia!$B$2
 +(Farmacologia!$B$3/2)
 +Farmacologia!$B$4
 +Farmacologia!$B$6
 +(FarmacologiaAvancadaCalculo!$A93)
 +(Farmacologia!$B$5-100)
 +(Farmacologia!$B$7*5)
 +(Farmacologia!$B$8*FarmacologiaAvancadaCalculo!F$1)</f>
        <v>720</v>
      </c>
      <c r="G93">
        <f>Farmacologia!$B$2
 +(Farmacologia!$B$3/2)
 +Farmacologia!$B$4
 +Farmacologia!$B$6
 +(FarmacologiaAvancadaCalculo!$A93)
 +(Farmacologia!$B$5-100)
 +(Farmacologia!$B$7*5)
 +(Farmacologia!$B$8*FarmacologiaAvancadaCalculo!G$1)</f>
        <v>725</v>
      </c>
      <c r="H93">
        <f>Farmacologia!$B$2
 +(Farmacologia!$B$3/2)
 +Farmacologia!$B$4
 +Farmacologia!$B$6
 +(FarmacologiaAvancadaCalculo!$A93)
 +(Farmacologia!$B$5-100)
 +(Farmacologia!$B$7*5)
 +(Farmacologia!$B$8*FarmacologiaAvancadaCalculo!H$1)</f>
        <v>730</v>
      </c>
      <c r="M93">
        <v>622</v>
      </c>
    </row>
    <row r="94" spans="1:13" x14ac:dyDescent="0.25">
      <c r="A94">
        <v>122</v>
      </c>
      <c r="B94">
        <f>Farmacologia!$B$2
 +(Farmacologia!$B$3/2)
 +Farmacologia!$B$4
 +Farmacologia!$B$6
 +(FarmacologiaAvancadaCalculo!$A94)
 +(Farmacologia!$B$5-100)
 +(Farmacologia!$B$7*5)
 +(Farmacologia!$B$8*FarmacologiaAvancadaCalculo!B$1)</f>
        <v>701</v>
      </c>
      <c r="C94">
        <f>Farmacologia!$B$2
 +(Farmacologia!$B$3/2)
 +Farmacologia!$B$4
 +Farmacologia!$B$6
 +(FarmacologiaAvancadaCalculo!$A94)
 +(Farmacologia!$B$5-100)
 +(Farmacologia!$B$7*5)
 +(Farmacologia!$B$8*FarmacologiaAvancadaCalculo!C$1)</f>
        <v>706</v>
      </c>
      <c r="D94">
        <f>Farmacologia!$B$2
 +(Farmacologia!$B$3/2)
 +Farmacologia!$B$4
 +Farmacologia!$B$6
 +(FarmacologiaAvancadaCalculo!$A94)
 +(Farmacologia!$B$5-100)
 +(Farmacologia!$B$7*5)
 +(Farmacologia!$B$8*FarmacologiaAvancadaCalculo!D$1)</f>
        <v>711</v>
      </c>
      <c r="E94">
        <f>Farmacologia!$B$2
 +(Farmacologia!$B$3/2)
 +Farmacologia!$B$4
 +Farmacologia!$B$6
 +(FarmacologiaAvancadaCalculo!$A94)
 +(Farmacologia!$B$5-100)
 +(Farmacologia!$B$7*5)
 +(Farmacologia!$B$8*FarmacologiaAvancadaCalculo!E$1)</f>
        <v>716</v>
      </c>
      <c r="F94">
        <f>Farmacologia!$B$2
 +(Farmacologia!$B$3/2)
 +Farmacologia!$B$4
 +Farmacologia!$B$6
 +(FarmacologiaAvancadaCalculo!$A94)
 +(Farmacologia!$B$5-100)
 +(Farmacologia!$B$7*5)
 +(Farmacologia!$B$8*FarmacologiaAvancadaCalculo!F$1)</f>
        <v>721</v>
      </c>
      <c r="G94">
        <f>Farmacologia!$B$2
 +(Farmacologia!$B$3/2)
 +Farmacologia!$B$4
 +Farmacologia!$B$6
 +(FarmacologiaAvancadaCalculo!$A94)
 +(Farmacologia!$B$5-100)
 +(Farmacologia!$B$7*5)
 +(Farmacologia!$B$8*FarmacologiaAvancadaCalculo!G$1)</f>
        <v>726</v>
      </c>
      <c r="H94">
        <f>Farmacologia!$B$2
 +(Farmacologia!$B$3/2)
 +Farmacologia!$B$4
 +Farmacologia!$B$6
 +(FarmacologiaAvancadaCalculo!$A94)
 +(Farmacologia!$B$5-100)
 +(Farmacologia!$B$7*5)
 +(Farmacologia!$B$8*FarmacologiaAvancadaCalculo!H$1)</f>
        <v>731</v>
      </c>
      <c r="M94">
        <v>627</v>
      </c>
    </row>
    <row r="95" spans="1:13" x14ac:dyDescent="0.25">
      <c r="A95">
        <v>123</v>
      </c>
      <c r="B95">
        <f>Farmacologia!$B$2
 +(Farmacologia!$B$3/2)
 +Farmacologia!$B$4
 +Farmacologia!$B$6
 +(FarmacologiaAvancadaCalculo!$A95)
 +(Farmacologia!$B$5-100)
 +(Farmacologia!$B$7*5)
 +(Farmacologia!$B$8*FarmacologiaAvancadaCalculo!B$1)</f>
        <v>702</v>
      </c>
      <c r="C95">
        <f>Farmacologia!$B$2
 +(Farmacologia!$B$3/2)
 +Farmacologia!$B$4
 +Farmacologia!$B$6
 +(FarmacologiaAvancadaCalculo!$A95)
 +(Farmacologia!$B$5-100)
 +(Farmacologia!$B$7*5)
 +(Farmacologia!$B$8*FarmacologiaAvancadaCalculo!C$1)</f>
        <v>707</v>
      </c>
      <c r="D95">
        <f>Farmacologia!$B$2
 +(Farmacologia!$B$3/2)
 +Farmacologia!$B$4
 +Farmacologia!$B$6
 +(FarmacologiaAvancadaCalculo!$A95)
 +(Farmacologia!$B$5-100)
 +(Farmacologia!$B$7*5)
 +(Farmacologia!$B$8*FarmacologiaAvancadaCalculo!D$1)</f>
        <v>712</v>
      </c>
      <c r="E95">
        <f>Farmacologia!$B$2
 +(Farmacologia!$B$3/2)
 +Farmacologia!$B$4
 +Farmacologia!$B$6
 +(FarmacologiaAvancadaCalculo!$A95)
 +(Farmacologia!$B$5-100)
 +(Farmacologia!$B$7*5)
 +(Farmacologia!$B$8*FarmacologiaAvancadaCalculo!E$1)</f>
        <v>717</v>
      </c>
      <c r="F95">
        <f>Farmacologia!$B$2
 +(Farmacologia!$B$3/2)
 +Farmacologia!$B$4
 +Farmacologia!$B$6
 +(FarmacologiaAvancadaCalculo!$A95)
 +(Farmacologia!$B$5-100)
 +(Farmacologia!$B$7*5)
 +(Farmacologia!$B$8*FarmacologiaAvancadaCalculo!F$1)</f>
        <v>722</v>
      </c>
      <c r="G95">
        <f>Farmacologia!$B$2
 +(Farmacologia!$B$3/2)
 +Farmacologia!$B$4
 +Farmacologia!$B$6
 +(FarmacologiaAvancadaCalculo!$A95)
 +(Farmacologia!$B$5-100)
 +(Farmacologia!$B$7*5)
 +(Farmacologia!$B$8*FarmacologiaAvancadaCalculo!G$1)</f>
        <v>727</v>
      </c>
      <c r="H95">
        <f>Farmacologia!$B$2
 +(Farmacologia!$B$3/2)
 +Farmacologia!$B$4
 +Farmacologia!$B$6
 +(FarmacologiaAvancadaCalculo!$A95)
 +(Farmacologia!$B$5-100)
 +(Farmacologia!$B$7*5)
 +(Farmacologia!$B$8*FarmacologiaAvancadaCalculo!H$1)</f>
        <v>732</v>
      </c>
      <c r="M95">
        <v>632</v>
      </c>
    </row>
    <row r="96" spans="1:13" x14ac:dyDescent="0.25">
      <c r="A96">
        <v>124</v>
      </c>
      <c r="B96">
        <f>Farmacologia!$B$2
 +(Farmacologia!$B$3/2)
 +Farmacologia!$B$4
 +Farmacologia!$B$6
 +(FarmacologiaAvancadaCalculo!$A96)
 +(Farmacologia!$B$5-100)
 +(Farmacologia!$B$7*5)
 +(Farmacologia!$B$8*FarmacologiaAvancadaCalculo!B$1)</f>
        <v>703</v>
      </c>
      <c r="C96">
        <f>Farmacologia!$B$2
 +(Farmacologia!$B$3/2)
 +Farmacologia!$B$4
 +Farmacologia!$B$6
 +(FarmacologiaAvancadaCalculo!$A96)
 +(Farmacologia!$B$5-100)
 +(Farmacologia!$B$7*5)
 +(Farmacologia!$B$8*FarmacologiaAvancadaCalculo!C$1)</f>
        <v>708</v>
      </c>
      <c r="D96">
        <f>Farmacologia!$B$2
 +(Farmacologia!$B$3/2)
 +Farmacologia!$B$4
 +Farmacologia!$B$6
 +(FarmacologiaAvancadaCalculo!$A96)
 +(Farmacologia!$B$5-100)
 +(Farmacologia!$B$7*5)
 +(Farmacologia!$B$8*FarmacologiaAvancadaCalculo!D$1)</f>
        <v>713</v>
      </c>
      <c r="E96">
        <f>Farmacologia!$B$2
 +(Farmacologia!$B$3/2)
 +Farmacologia!$B$4
 +Farmacologia!$B$6
 +(FarmacologiaAvancadaCalculo!$A96)
 +(Farmacologia!$B$5-100)
 +(Farmacologia!$B$7*5)
 +(Farmacologia!$B$8*FarmacologiaAvancadaCalculo!E$1)</f>
        <v>718</v>
      </c>
      <c r="F96">
        <f>Farmacologia!$B$2
 +(Farmacologia!$B$3/2)
 +Farmacologia!$B$4
 +Farmacologia!$B$6
 +(FarmacologiaAvancadaCalculo!$A96)
 +(Farmacologia!$B$5-100)
 +(Farmacologia!$B$7*5)
 +(Farmacologia!$B$8*FarmacologiaAvancadaCalculo!F$1)</f>
        <v>723</v>
      </c>
      <c r="G96">
        <f>Farmacologia!$B$2
 +(Farmacologia!$B$3/2)
 +Farmacologia!$B$4
 +Farmacologia!$B$6
 +(FarmacologiaAvancadaCalculo!$A96)
 +(Farmacologia!$B$5-100)
 +(Farmacologia!$B$7*5)
 +(Farmacologia!$B$8*FarmacologiaAvancadaCalculo!G$1)</f>
        <v>728</v>
      </c>
      <c r="H96">
        <f>Farmacologia!$B$2
 +(Farmacologia!$B$3/2)
 +Farmacologia!$B$4
 +Farmacologia!$B$6
 +(FarmacologiaAvancadaCalculo!$A96)
 +(Farmacologia!$B$5-100)
 +(Farmacologia!$B$7*5)
 +(Farmacologia!$B$8*FarmacologiaAvancadaCalculo!H$1)</f>
        <v>733</v>
      </c>
      <c r="M96">
        <v>637</v>
      </c>
    </row>
    <row r="97" spans="1:13" x14ac:dyDescent="0.25">
      <c r="A97">
        <v>125</v>
      </c>
      <c r="B97">
        <f>Farmacologia!$B$2
 +(Farmacologia!$B$3/2)
 +Farmacologia!$B$4
 +Farmacologia!$B$6
 +(FarmacologiaAvancadaCalculo!$A97)
 +(Farmacologia!$B$5-100)
 +(Farmacologia!$B$7*5)
 +(Farmacologia!$B$8*FarmacologiaAvancadaCalculo!B$1)</f>
        <v>704</v>
      </c>
      <c r="C97">
        <f>Farmacologia!$B$2
 +(Farmacologia!$B$3/2)
 +Farmacologia!$B$4
 +Farmacologia!$B$6
 +(FarmacologiaAvancadaCalculo!$A97)
 +(Farmacologia!$B$5-100)
 +(Farmacologia!$B$7*5)
 +(Farmacologia!$B$8*FarmacologiaAvancadaCalculo!C$1)</f>
        <v>709</v>
      </c>
      <c r="D97">
        <f>Farmacologia!$B$2
 +(Farmacologia!$B$3/2)
 +Farmacologia!$B$4
 +Farmacologia!$B$6
 +(FarmacologiaAvancadaCalculo!$A97)
 +(Farmacologia!$B$5-100)
 +(Farmacologia!$B$7*5)
 +(Farmacologia!$B$8*FarmacologiaAvancadaCalculo!D$1)</f>
        <v>714</v>
      </c>
      <c r="E97">
        <f>Farmacologia!$B$2
 +(Farmacologia!$B$3/2)
 +Farmacologia!$B$4
 +Farmacologia!$B$6
 +(FarmacologiaAvancadaCalculo!$A97)
 +(Farmacologia!$B$5-100)
 +(Farmacologia!$B$7*5)
 +(Farmacologia!$B$8*FarmacologiaAvancadaCalculo!E$1)</f>
        <v>719</v>
      </c>
      <c r="F97">
        <f>Farmacologia!$B$2
 +(Farmacologia!$B$3/2)
 +Farmacologia!$B$4
 +Farmacologia!$B$6
 +(FarmacologiaAvancadaCalculo!$A97)
 +(Farmacologia!$B$5-100)
 +(Farmacologia!$B$7*5)
 +(Farmacologia!$B$8*FarmacologiaAvancadaCalculo!F$1)</f>
        <v>724</v>
      </c>
      <c r="G97">
        <f>Farmacologia!$B$2
 +(Farmacologia!$B$3/2)
 +Farmacologia!$B$4
 +Farmacologia!$B$6
 +(FarmacologiaAvancadaCalculo!$A97)
 +(Farmacologia!$B$5-100)
 +(Farmacologia!$B$7*5)
 +(Farmacologia!$B$8*FarmacologiaAvancadaCalculo!G$1)</f>
        <v>729</v>
      </c>
      <c r="H97">
        <f>Farmacologia!$B$2
 +(Farmacologia!$B$3/2)
 +Farmacologia!$B$4
 +Farmacologia!$B$6
 +(FarmacologiaAvancadaCalculo!$A97)
 +(Farmacologia!$B$5-100)
 +(Farmacologia!$B$7*5)
 +(Farmacologia!$B$8*FarmacologiaAvancadaCalculo!H$1)</f>
        <v>734</v>
      </c>
      <c r="M97">
        <v>642</v>
      </c>
    </row>
    <row r="98" spans="1:13" x14ac:dyDescent="0.25">
      <c r="A98">
        <v>126</v>
      </c>
      <c r="B98">
        <f>Farmacologia!$B$2
 +(Farmacologia!$B$3/2)
 +Farmacologia!$B$4
 +Farmacologia!$B$6
 +(FarmacologiaAvancadaCalculo!$A98)
 +(Farmacologia!$B$5-100)
 +(Farmacologia!$B$7*5)
 +(Farmacologia!$B$8*FarmacologiaAvancadaCalculo!B$1)</f>
        <v>705</v>
      </c>
      <c r="C98">
        <f>Farmacologia!$B$2
 +(Farmacologia!$B$3/2)
 +Farmacologia!$B$4
 +Farmacologia!$B$6
 +(FarmacologiaAvancadaCalculo!$A98)
 +(Farmacologia!$B$5-100)
 +(Farmacologia!$B$7*5)
 +(Farmacologia!$B$8*FarmacologiaAvancadaCalculo!C$1)</f>
        <v>710</v>
      </c>
      <c r="D98">
        <f>Farmacologia!$B$2
 +(Farmacologia!$B$3/2)
 +Farmacologia!$B$4
 +Farmacologia!$B$6
 +(FarmacologiaAvancadaCalculo!$A98)
 +(Farmacologia!$B$5-100)
 +(Farmacologia!$B$7*5)
 +(Farmacologia!$B$8*FarmacologiaAvancadaCalculo!D$1)</f>
        <v>715</v>
      </c>
      <c r="E98">
        <f>Farmacologia!$B$2
 +(Farmacologia!$B$3/2)
 +Farmacologia!$B$4
 +Farmacologia!$B$6
 +(FarmacologiaAvancadaCalculo!$A98)
 +(Farmacologia!$B$5-100)
 +(Farmacologia!$B$7*5)
 +(Farmacologia!$B$8*FarmacologiaAvancadaCalculo!E$1)</f>
        <v>720</v>
      </c>
      <c r="F98">
        <f>Farmacologia!$B$2
 +(Farmacologia!$B$3/2)
 +Farmacologia!$B$4
 +Farmacologia!$B$6
 +(FarmacologiaAvancadaCalculo!$A98)
 +(Farmacologia!$B$5-100)
 +(Farmacologia!$B$7*5)
 +(Farmacologia!$B$8*FarmacologiaAvancadaCalculo!F$1)</f>
        <v>725</v>
      </c>
      <c r="G98">
        <f>Farmacologia!$B$2
 +(Farmacologia!$B$3/2)
 +Farmacologia!$B$4
 +Farmacologia!$B$6
 +(FarmacologiaAvancadaCalculo!$A98)
 +(Farmacologia!$B$5-100)
 +(Farmacologia!$B$7*5)
 +(Farmacologia!$B$8*FarmacologiaAvancadaCalculo!G$1)</f>
        <v>730</v>
      </c>
      <c r="H98">
        <f>Farmacologia!$B$2
 +(Farmacologia!$B$3/2)
 +Farmacologia!$B$4
 +Farmacologia!$B$6
 +(FarmacologiaAvancadaCalculo!$A98)
 +(Farmacologia!$B$5-100)
 +(Farmacologia!$B$7*5)
 +(Farmacologia!$B$8*FarmacologiaAvancadaCalculo!H$1)</f>
        <v>735</v>
      </c>
      <c r="M98">
        <v>647</v>
      </c>
    </row>
    <row r="99" spans="1:13" x14ac:dyDescent="0.25">
      <c r="A99">
        <v>127</v>
      </c>
      <c r="B99">
        <f>Farmacologia!$B$2
 +(Farmacologia!$B$3/2)
 +Farmacologia!$B$4
 +Farmacologia!$B$6
 +(FarmacologiaAvancadaCalculo!$A99)
 +(Farmacologia!$B$5-100)
 +(Farmacologia!$B$7*5)
 +(Farmacologia!$B$8*FarmacologiaAvancadaCalculo!B$1)</f>
        <v>706</v>
      </c>
      <c r="C99">
        <f>Farmacologia!$B$2
 +(Farmacologia!$B$3/2)
 +Farmacologia!$B$4
 +Farmacologia!$B$6
 +(FarmacologiaAvancadaCalculo!$A99)
 +(Farmacologia!$B$5-100)
 +(Farmacologia!$B$7*5)
 +(Farmacologia!$B$8*FarmacologiaAvancadaCalculo!C$1)</f>
        <v>711</v>
      </c>
      <c r="D99">
        <f>Farmacologia!$B$2
 +(Farmacologia!$B$3/2)
 +Farmacologia!$B$4
 +Farmacologia!$B$6
 +(FarmacologiaAvancadaCalculo!$A99)
 +(Farmacologia!$B$5-100)
 +(Farmacologia!$B$7*5)
 +(Farmacologia!$B$8*FarmacologiaAvancadaCalculo!D$1)</f>
        <v>716</v>
      </c>
      <c r="E99">
        <f>Farmacologia!$B$2
 +(Farmacologia!$B$3/2)
 +Farmacologia!$B$4
 +Farmacologia!$B$6
 +(FarmacologiaAvancadaCalculo!$A99)
 +(Farmacologia!$B$5-100)
 +(Farmacologia!$B$7*5)
 +(Farmacologia!$B$8*FarmacologiaAvancadaCalculo!E$1)</f>
        <v>721</v>
      </c>
      <c r="F99">
        <f>Farmacologia!$B$2
 +(Farmacologia!$B$3/2)
 +Farmacologia!$B$4
 +Farmacologia!$B$6
 +(FarmacologiaAvancadaCalculo!$A99)
 +(Farmacologia!$B$5-100)
 +(Farmacologia!$B$7*5)
 +(Farmacologia!$B$8*FarmacologiaAvancadaCalculo!F$1)</f>
        <v>726</v>
      </c>
      <c r="G99">
        <f>Farmacologia!$B$2
 +(Farmacologia!$B$3/2)
 +Farmacologia!$B$4
 +Farmacologia!$B$6
 +(FarmacologiaAvancadaCalculo!$A99)
 +(Farmacologia!$B$5-100)
 +(Farmacologia!$B$7*5)
 +(Farmacologia!$B$8*FarmacologiaAvancadaCalculo!G$1)</f>
        <v>731</v>
      </c>
      <c r="H99">
        <f>Farmacologia!$B$2
 +(Farmacologia!$B$3/2)
 +Farmacologia!$B$4
 +Farmacologia!$B$6
 +(FarmacologiaAvancadaCalculo!$A99)
 +(Farmacologia!$B$5-100)
 +(Farmacologia!$B$7*5)
 +(Farmacologia!$B$8*FarmacologiaAvancadaCalculo!H$1)</f>
        <v>736</v>
      </c>
      <c r="M99">
        <v>652</v>
      </c>
    </row>
    <row r="100" spans="1:13" x14ac:dyDescent="0.25">
      <c r="A100">
        <v>128</v>
      </c>
      <c r="B100">
        <f>Farmacologia!$B$2
 +(Farmacologia!$B$3/2)
 +Farmacologia!$B$4
 +Farmacologia!$B$6
 +(FarmacologiaAvancadaCalculo!$A100)
 +(Farmacologia!$B$5-100)
 +(Farmacologia!$B$7*5)
 +(Farmacologia!$B$8*FarmacologiaAvancadaCalculo!B$1)</f>
        <v>707</v>
      </c>
      <c r="C100">
        <f>Farmacologia!$B$2
 +(Farmacologia!$B$3/2)
 +Farmacologia!$B$4
 +Farmacologia!$B$6
 +(FarmacologiaAvancadaCalculo!$A100)
 +(Farmacologia!$B$5-100)
 +(Farmacologia!$B$7*5)
 +(Farmacologia!$B$8*FarmacologiaAvancadaCalculo!C$1)</f>
        <v>712</v>
      </c>
      <c r="D100">
        <f>Farmacologia!$B$2
 +(Farmacologia!$B$3/2)
 +Farmacologia!$B$4
 +Farmacologia!$B$6
 +(FarmacologiaAvancadaCalculo!$A100)
 +(Farmacologia!$B$5-100)
 +(Farmacologia!$B$7*5)
 +(Farmacologia!$B$8*FarmacologiaAvancadaCalculo!D$1)</f>
        <v>717</v>
      </c>
      <c r="E100">
        <f>Farmacologia!$B$2
 +(Farmacologia!$B$3/2)
 +Farmacologia!$B$4
 +Farmacologia!$B$6
 +(FarmacologiaAvancadaCalculo!$A100)
 +(Farmacologia!$B$5-100)
 +(Farmacologia!$B$7*5)
 +(Farmacologia!$B$8*FarmacologiaAvancadaCalculo!E$1)</f>
        <v>722</v>
      </c>
      <c r="F100">
        <f>Farmacologia!$B$2
 +(Farmacologia!$B$3/2)
 +Farmacologia!$B$4
 +Farmacologia!$B$6
 +(FarmacologiaAvancadaCalculo!$A100)
 +(Farmacologia!$B$5-100)
 +(Farmacologia!$B$7*5)
 +(Farmacologia!$B$8*FarmacologiaAvancadaCalculo!F$1)</f>
        <v>727</v>
      </c>
      <c r="G100">
        <f>Farmacologia!$B$2
 +(Farmacologia!$B$3/2)
 +Farmacologia!$B$4
 +Farmacologia!$B$6
 +(FarmacologiaAvancadaCalculo!$A100)
 +(Farmacologia!$B$5-100)
 +(Farmacologia!$B$7*5)
 +(Farmacologia!$B$8*FarmacologiaAvancadaCalculo!G$1)</f>
        <v>732</v>
      </c>
      <c r="H100">
        <f>Farmacologia!$B$2
 +(Farmacologia!$B$3/2)
 +Farmacologia!$B$4
 +Farmacologia!$B$6
 +(FarmacologiaAvancadaCalculo!$A100)
 +(Farmacologia!$B$5-100)
 +(Farmacologia!$B$7*5)
 +(Farmacologia!$B$8*FarmacologiaAvancadaCalculo!H$1)</f>
        <v>737</v>
      </c>
      <c r="M100">
        <v>623</v>
      </c>
    </row>
    <row r="101" spans="1:13" x14ac:dyDescent="0.25">
      <c r="A101">
        <v>129</v>
      </c>
      <c r="B101">
        <f>Farmacologia!$B$2
 +(Farmacologia!$B$3/2)
 +Farmacologia!$B$4
 +Farmacologia!$B$6
 +(FarmacologiaAvancadaCalculo!$A101)
 +(Farmacologia!$B$5-100)
 +(Farmacologia!$B$7*5)
 +(Farmacologia!$B$8*FarmacologiaAvancadaCalculo!B$1)</f>
        <v>708</v>
      </c>
      <c r="C101">
        <f>Farmacologia!$B$2
 +(Farmacologia!$B$3/2)
 +Farmacologia!$B$4
 +Farmacologia!$B$6
 +(FarmacologiaAvancadaCalculo!$A101)
 +(Farmacologia!$B$5-100)
 +(Farmacologia!$B$7*5)
 +(Farmacologia!$B$8*FarmacologiaAvancadaCalculo!C$1)</f>
        <v>713</v>
      </c>
      <c r="D101">
        <f>Farmacologia!$B$2
 +(Farmacologia!$B$3/2)
 +Farmacologia!$B$4
 +Farmacologia!$B$6
 +(FarmacologiaAvancadaCalculo!$A101)
 +(Farmacologia!$B$5-100)
 +(Farmacologia!$B$7*5)
 +(Farmacologia!$B$8*FarmacologiaAvancadaCalculo!D$1)</f>
        <v>718</v>
      </c>
      <c r="E101">
        <f>Farmacologia!$B$2
 +(Farmacologia!$B$3/2)
 +Farmacologia!$B$4
 +Farmacologia!$B$6
 +(FarmacologiaAvancadaCalculo!$A101)
 +(Farmacologia!$B$5-100)
 +(Farmacologia!$B$7*5)
 +(Farmacologia!$B$8*FarmacologiaAvancadaCalculo!E$1)</f>
        <v>723</v>
      </c>
      <c r="F101">
        <f>Farmacologia!$B$2
 +(Farmacologia!$B$3/2)
 +Farmacologia!$B$4
 +Farmacologia!$B$6
 +(FarmacologiaAvancadaCalculo!$A101)
 +(Farmacologia!$B$5-100)
 +(Farmacologia!$B$7*5)
 +(Farmacologia!$B$8*FarmacologiaAvancadaCalculo!F$1)</f>
        <v>728</v>
      </c>
      <c r="G101">
        <f>Farmacologia!$B$2
 +(Farmacologia!$B$3/2)
 +Farmacologia!$B$4
 +Farmacologia!$B$6
 +(FarmacologiaAvancadaCalculo!$A101)
 +(Farmacologia!$B$5-100)
 +(Farmacologia!$B$7*5)
 +(Farmacologia!$B$8*FarmacologiaAvancadaCalculo!G$1)</f>
        <v>733</v>
      </c>
      <c r="H101">
        <f>Farmacologia!$B$2
 +(Farmacologia!$B$3/2)
 +Farmacologia!$B$4
 +Farmacologia!$B$6
 +(FarmacologiaAvancadaCalculo!$A101)
 +(Farmacologia!$B$5-100)
 +(Farmacologia!$B$7*5)
 +(Farmacologia!$B$8*FarmacologiaAvancadaCalculo!H$1)</f>
        <v>738</v>
      </c>
      <c r="M101">
        <v>628</v>
      </c>
    </row>
    <row r="102" spans="1:13" x14ac:dyDescent="0.25">
      <c r="A102">
        <v>130</v>
      </c>
      <c r="B102">
        <f>Farmacologia!$B$2
 +(Farmacologia!$B$3/2)
 +Farmacologia!$B$4
 +Farmacologia!$B$6
 +(FarmacologiaAvancadaCalculo!$A102)
 +(Farmacologia!$B$5-100)
 +(Farmacologia!$B$7*5)
 +(Farmacologia!$B$8*FarmacologiaAvancadaCalculo!B$1)</f>
        <v>709</v>
      </c>
      <c r="C102">
        <f>Farmacologia!$B$2
 +(Farmacologia!$B$3/2)
 +Farmacologia!$B$4
 +Farmacologia!$B$6
 +(FarmacologiaAvancadaCalculo!$A102)
 +(Farmacologia!$B$5-100)
 +(Farmacologia!$B$7*5)
 +(Farmacologia!$B$8*FarmacologiaAvancadaCalculo!C$1)</f>
        <v>714</v>
      </c>
      <c r="D102">
        <f>Farmacologia!$B$2
 +(Farmacologia!$B$3/2)
 +Farmacologia!$B$4
 +Farmacologia!$B$6
 +(FarmacologiaAvancadaCalculo!$A102)
 +(Farmacologia!$B$5-100)
 +(Farmacologia!$B$7*5)
 +(Farmacologia!$B$8*FarmacologiaAvancadaCalculo!D$1)</f>
        <v>719</v>
      </c>
      <c r="E102">
        <f>Farmacologia!$B$2
 +(Farmacologia!$B$3/2)
 +Farmacologia!$B$4
 +Farmacologia!$B$6
 +(FarmacologiaAvancadaCalculo!$A102)
 +(Farmacologia!$B$5-100)
 +(Farmacologia!$B$7*5)
 +(Farmacologia!$B$8*FarmacologiaAvancadaCalculo!E$1)</f>
        <v>724</v>
      </c>
      <c r="F102">
        <f>Farmacologia!$B$2
 +(Farmacologia!$B$3/2)
 +Farmacologia!$B$4
 +Farmacologia!$B$6
 +(FarmacologiaAvancadaCalculo!$A102)
 +(Farmacologia!$B$5-100)
 +(Farmacologia!$B$7*5)
 +(Farmacologia!$B$8*FarmacologiaAvancadaCalculo!F$1)</f>
        <v>729</v>
      </c>
      <c r="G102">
        <f>Farmacologia!$B$2
 +(Farmacologia!$B$3/2)
 +Farmacologia!$B$4
 +Farmacologia!$B$6
 +(FarmacologiaAvancadaCalculo!$A102)
 +(Farmacologia!$B$5-100)
 +(Farmacologia!$B$7*5)
 +(Farmacologia!$B$8*FarmacologiaAvancadaCalculo!G$1)</f>
        <v>734</v>
      </c>
      <c r="H102">
        <f>Farmacologia!$B$2
 +(Farmacologia!$B$3/2)
 +Farmacologia!$B$4
 +Farmacologia!$B$6
 +(FarmacologiaAvancadaCalculo!$A102)
 +(Farmacologia!$B$5-100)
 +(Farmacologia!$B$7*5)
 +(Farmacologia!$B$8*FarmacologiaAvancadaCalculo!H$1)</f>
        <v>739</v>
      </c>
      <c r="M102">
        <v>633</v>
      </c>
    </row>
    <row r="103" spans="1:13" x14ac:dyDescent="0.25">
      <c r="A103">
        <v>131</v>
      </c>
      <c r="B103">
        <f>Farmacologia!$B$2
 +(Farmacologia!$B$3/2)
 +Farmacologia!$B$4
 +Farmacologia!$B$6
 +(FarmacologiaAvancadaCalculo!$A103)
 +(Farmacologia!$B$5-100)
 +(Farmacologia!$B$7*5)
 +(Farmacologia!$B$8*FarmacologiaAvancadaCalculo!B$1)</f>
        <v>710</v>
      </c>
      <c r="C103">
        <f>Farmacologia!$B$2
 +(Farmacologia!$B$3/2)
 +Farmacologia!$B$4
 +Farmacologia!$B$6
 +(FarmacologiaAvancadaCalculo!$A103)
 +(Farmacologia!$B$5-100)
 +(Farmacologia!$B$7*5)
 +(Farmacologia!$B$8*FarmacologiaAvancadaCalculo!C$1)</f>
        <v>715</v>
      </c>
      <c r="D103">
        <f>Farmacologia!$B$2
 +(Farmacologia!$B$3/2)
 +Farmacologia!$B$4
 +Farmacologia!$B$6
 +(FarmacologiaAvancadaCalculo!$A103)
 +(Farmacologia!$B$5-100)
 +(Farmacologia!$B$7*5)
 +(Farmacologia!$B$8*FarmacologiaAvancadaCalculo!D$1)</f>
        <v>720</v>
      </c>
      <c r="E103">
        <f>Farmacologia!$B$2
 +(Farmacologia!$B$3/2)
 +Farmacologia!$B$4
 +Farmacologia!$B$6
 +(FarmacologiaAvancadaCalculo!$A103)
 +(Farmacologia!$B$5-100)
 +(Farmacologia!$B$7*5)
 +(Farmacologia!$B$8*FarmacologiaAvancadaCalculo!E$1)</f>
        <v>725</v>
      </c>
      <c r="F103">
        <f>Farmacologia!$B$2
 +(Farmacologia!$B$3/2)
 +Farmacologia!$B$4
 +Farmacologia!$B$6
 +(FarmacologiaAvancadaCalculo!$A103)
 +(Farmacologia!$B$5-100)
 +(Farmacologia!$B$7*5)
 +(Farmacologia!$B$8*FarmacologiaAvancadaCalculo!F$1)</f>
        <v>730</v>
      </c>
      <c r="G103">
        <f>Farmacologia!$B$2
 +(Farmacologia!$B$3/2)
 +Farmacologia!$B$4
 +Farmacologia!$B$6
 +(FarmacologiaAvancadaCalculo!$A103)
 +(Farmacologia!$B$5-100)
 +(Farmacologia!$B$7*5)
 +(Farmacologia!$B$8*FarmacologiaAvancadaCalculo!G$1)</f>
        <v>735</v>
      </c>
      <c r="H103">
        <f>Farmacologia!$B$2
 +(Farmacologia!$B$3/2)
 +Farmacologia!$B$4
 +Farmacologia!$B$6
 +(FarmacologiaAvancadaCalculo!$A103)
 +(Farmacologia!$B$5-100)
 +(Farmacologia!$B$7*5)
 +(Farmacologia!$B$8*FarmacologiaAvancadaCalculo!H$1)</f>
        <v>740</v>
      </c>
      <c r="M103">
        <v>638</v>
      </c>
    </row>
    <row r="104" spans="1:13" x14ac:dyDescent="0.25">
      <c r="A104">
        <v>132</v>
      </c>
      <c r="B104">
        <f>Farmacologia!$B$2
 +(Farmacologia!$B$3/2)
 +Farmacologia!$B$4
 +Farmacologia!$B$6
 +(FarmacologiaAvancadaCalculo!$A104)
 +(Farmacologia!$B$5-100)
 +(Farmacologia!$B$7*5)
 +(Farmacologia!$B$8*FarmacologiaAvancadaCalculo!B$1)</f>
        <v>711</v>
      </c>
      <c r="C104">
        <f>Farmacologia!$B$2
 +(Farmacologia!$B$3/2)
 +Farmacologia!$B$4
 +Farmacologia!$B$6
 +(FarmacologiaAvancadaCalculo!$A104)
 +(Farmacologia!$B$5-100)
 +(Farmacologia!$B$7*5)
 +(Farmacologia!$B$8*FarmacologiaAvancadaCalculo!C$1)</f>
        <v>716</v>
      </c>
      <c r="D104">
        <f>Farmacologia!$B$2
 +(Farmacologia!$B$3/2)
 +Farmacologia!$B$4
 +Farmacologia!$B$6
 +(FarmacologiaAvancadaCalculo!$A104)
 +(Farmacologia!$B$5-100)
 +(Farmacologia!$B$7*5)
 +(Farmacologia!$B$8*FarmacologiaAvancadaCalculo!D$1)</f>
        <v>721</v>
      </c>
      <c r="E104">
        <f>Farmacologia!$B$2
 +(Farmacologia!$B$3/2)
 +Farmacologia!$B$4
 +Farmacologia!$B$6
 +(FarmacologiaAvancadaCalculo!$A104)
 +(Farmacologia!$B$5-100)
 +(Farmacologia!$B$7*5)
 +(Farmacologia!$B$8*FarmacologiaAvancadaCalculo!E$1)</f>
        <v>726</v>
      </c>
      <c r="F104">
        <f>Farmacologia!$B$2
 +(Farmacologia!$B$3/2)
 +Farmacologia!$B$4
 +Farmacologia!$B$6
 +(FarmacologiaAvancadaCalculo!$A104)
 +(Farmacologia!$B$5-100)
 +(Farmacologia!$B$7*5)
 +(Farmacologia!$B$8*FarmacologiaAvancadaCalculo!F$1)</f>
        <v>731</v>
      </c>
      <c r="G104">
        <f>Farmacologia!$B$2
 +(Farmacologia!$B$3/2)
 +Farmacologia!$B$4
 +Farmacologia!$B$6
 +(FarmacologiaAvancadaCalculo!$A104)
 +(Farmacologia!$B$5-100)
 +(Farmacologia!$B$7*5)
 +(Farmacologia!$B$8*FarmacologiaAvancadaCalculo!G$1)</f>
        <v>736</v>
      </c>
      <c r="H104">
        <f>Farmacologia!$B$2
 +(Farmacologia!$B$3/2)
 +Farmacologia!$B$4
 +Farmacologia!$B$6
 +(FarmacologiaAvancadaCalculo!$A104)
 +(Farmacologia!$B$5-100)
 +(Farmacologia!$B$7*5)
 +(Farmacologia!$B$8*FarmacologiaAvancadaCalculo!H$1)</f>
        <v>741</v>
      </c>
      <c r="M104">
        <v>643</v>
      </c>
    </row>
    <row r="105" spans="1:13" x14ac:dyDescent="0.25">
      <c r="A105">
        <v>133</v>
      </c>
      <c r="B105">
        <f>Farmacologia!$B$2
 +(Farmacologia!$B$3/2)
 +Farmacologia!$B$4
 +Farmacologia!$B$6
 +(FarmacologiaAvancadaCalculo!$A105)
 +(Farmacologia!$B$5-100)
 +(Farmacologia!$B$7*5)
 +(Farmacologia!$B$8*FarmacologiaAvancadaCalculo!B$1)</f>
        <v>712</v>
      </c>
      <c r="C105">
        <f>Farmacologia!$B$2
 +(Farmacologia!$B$3/2)
 +Farmacologia!$B$4
 +Farmacologia!$B$6
 +(FarmacologiaAvancadaCalculo!$A105)
 +(Farmacologia!$B$5-100)
 +(Farmacologia!$B$7*5)
 +(Farmacologia!$B$8*FarmacologiaAvancadaCalculo!C$1)</f>
        <v>717</v>
      </c>
      <c r="D105">
        <f>Farmacologia!$B$2
 +(Farmacologia!$B$3/2)
 +Farmacologia!$B$4
 +Farmacologia!$B$6
 +(FarmacologiaAvancadaCalculo!$A105)
 +(Farmacologia!$B$5-100)
 +(Farmacologia!$B$7*5)
 +(Farmacologia!$B$8*FarmacologiaAvancadaCalculo!D$1)</f>
        <v>722</v>
      </c>
      <c r="E105">
        <f>Farmacologia!$B$2
 +(Farmacologia!$B$3/2)
 +Farmacologia!$B$4
 +Farmacologia!$B$6
 +(FarmacologiaAvancadaCalculo!$A105)
 +(Farmacologia!$B$5-100)
 +(Farmacologia!$B$7*5)
 +(Farmacologia!$B$8*FarmacologiaAvancadaCalculo!E$1)</f>
        <v>727</v>
      </c>
      <c r="F105">
        <f>Farmacologia!$B$2
 +(Farmacologia!$B$3/2)
 +Farmacologia!$B$4
 +Farmacologia!$B$6
 +(FarmacologiaAvancadaCalculo!$A105)
 +(Farmacologia!$B$5-100)
 +(Farmacologia!$B$7*5)
 +(Farmacologia!$B$8*FarmacologiaAvancadaCalculo!F$1)</f>
        <v>732</v>
      </c>
      <c r="G105">
        <f>Farmacologia!$B$2
 +(Farmacologia!$B$3/2)
 +Farmacologia!$B$4
 +Farmacologia!$B$6
 +(FarmacologiaAvancadaCalculo!$A105)
 +(Farmacologia!$B$5-100)
 +(Farmacologia!$B$7*5)
 +(Farmacologia!$B$8*FarmacologiaAvancadaCalculo!G$1)</f>
        <v>737</v>
      </c>
      <c r="H105">
        <f>Farmacologia!$B$2
 +(Farmacologia!$B$3/2)
 +Farmacologia!$B$4
 +Farmacologia!$B$6
 +(FarmacologiaAvancadaCalculo!$A105)
 +(Farmacologia!$B$5-100)
 +(Farmacologia!$B$7*5)
 +(Farmacologia!$B$8*FarmacologiaAvancadaCalculo!H$1)</f>
        <v>742</v>
      </c>
      <c r="M105">
        <v>648</v>
      </c>
    </row>
    <row r="106" spans="1:13" x14ac:dyDescent="0.25">
      <c r="A106">
        <v>134</v>
      </c>
      <c r="B106">
        <f>Farmacologia!$B$2
 +(Farmacologia!$B$3/2)
 +Farmacologia!$B$4
 +Farmacologia!$B$6
 +(FarmacologiaAvancadaCalculo!$A106)
 +(Farmacologia!$B$5-100)
 +(Farmacologia!$B$7*5)
 +(Farmacologia!$B$8*FarmacologiaAvancadaCalculo!B$1)</f>
        <v>713</v>
      </c>
      <c r="C106">
        <f>Farmacologia!$B$2
 +(Farmacologia!$B$3/2)
 +Farmacologia!$B$4
 +Farmacologia!$B$6
 +(FarmacologiaAvancadaCalculo!$A106)
 +(Farmacologia!$B$5-100)
 +(Farmacologia!$B$7*5)
 +(Farmacologia!$B$8*FarmacologiaAvancadaCalculo!C$1)</f>
        <v>718</v>
      </c>
      <c r="D106">
        <f>Farmacologia!$B$2
 +(Farmacologia!$B$3/2)
 +Farmacologia!$B$4
 +Farmacologia!$B$6
 +(FarmacologiaAvancadaCalculo!$A106)
 +(Farmacologia!$B$5-100)
 +(Farmacologia!$B$7*5)
 +(Farmacologia!$B$8*FarmacologiaAvancadaCalculo!D$1)</f>
        <v>723</v>
      </c>
      <c r="E106">
        <f>Farmacologia!$B$2
 +(Farmacologia!$B$3/2)
 +Farmacologia!$B$4
 +Farmacologia!$B$6
 +(FarmacologiaAvancadaCalculo!$A106)
 +(Farmacologia!$B$5-100)
 +(Farmacologia!$B$7*5)
 +(Farmacologia!$B$8*FarmacologiaAvancadaCalculo!E$1)</f>
        <v>728</v>
      </c>
      <c r="F106">
        <f>Farmacologia!$B$2
 +(Farmacologia!$B$3/2)
 +Farmacologia!$B$4
 +Farmacologia!$B$6
 +(FarmacologiaAvancadaCalculo!$A106)
 +(Farmacologia!$B$5-100)
 +(Farmacologia!$B$7*5)
 +(Farmacologia!$B$8*FarmacologiaAvancadaCalculo!F$1)</f>
        <v>733</v>
      </c>
      <c r="G106">
        <f>Farmacologia!$B$2
 +(Farmacologia!$B$3/2)
 +Farmacologia!$B$4
 +Farmacologia!$B$6
 +(FarmacologiaAvancadaCalculo!$A106)
 +(Farmacologia!$B$5-100)
 +(Farmacologia!$B$7*5)
 +(Farmacologia!$B$8*FarmacologiaAvancadaCalculo!G$1)</f>
        <v>738</v>
      </c>
      <c r="H106">
        <f>Farmacologia!$B$2
 +(Farmacologia!$B$3/2)
 +Farmacologia!$B$4
 +Farmacologia!$B$6
 +(FarmacologiaAvancadaCalculo!$A106)
 +(Farmacologia!$B$5-100)
 +(Farmacologia!$B$7*5)
 +(Farmacologia!$B$8*FarmacologiaAvancadaCalculo!H$1)</f>
        <v>743</v>
      </c>
      <c r="M106">
        <v>653</v>
      </c>
    </row>
    <row r="107" spans="1:13" x14ac:dyDescent="0.25">
      <c r="A107">
        <v>135</v>
      </c>
      <c r="B107">
        <f>Farmacologia!$B$2
 +(Farmacologia!$B$3/2)
 +Farmacologia!$B$4
 +Farmacologia!$B$6
 +(FarmacologiaAvancadaCalculo!$A107)
 +(Farmacologia!$B$5-100)
 +(Farmacologia!$B$7*5)
 +(Farmacologia!$B$8*FarmacologiaAvancadaCalculo!B$1)</f>
        <v>714</v>
      </c>
      <c r="C107">
        <f>Farmacologia!$B$2
 +(Farmacologia!$B$3/2)
 +Farmacologia!$B$4
 +Farmacologia!$B$6
 +(FarmacologiaAvancadaCalculo!$A107)
 +(Farmacologia!$B$5-100)
 +(Farmacologia!$B$7*5)
 +(Farmacologia!$B$8*FarmacologiaAvancadaCalculo!C$1)</f>
        <v>719</v>
      </c>
      <c r="D107">
        <f>Farmacologia!$B$2
 +(Farmacologia!$B$3/2)
 +Farmacologia!$B$4
 +Farmacologia!$B$6
 +(FarmacologiaAvancadaCalculo!$A107)
 +(Farmacologia!$B$5-100)
 +(Farmacologia!$B$7*5)
 +(Farmacologia!$B$8*FarmacologiaAvancadaCalculo!D$1)</f>
        <v>724</v>
      </c>
      <c r="E107">
        <f>Farmacologia!$B$2
 +(Farmacologia!$B$3/2)
 +Farmacologia!$B$4
 +Farmacologia!$B$6
 +(FarmacologiaAvancadaCalculo!$A107)
 +(Farmacologia!$B$5-100)
 +(Farmacologia!$B$7*5)
 +(Farmacologia!$B$8*FarmacologiaAvancadaCalculo!E$1)</f>
        <v>729</v>
      </c>
      <c r="F107">
        <f>Farmacologia!$B$2
 +(Farmacologia!$B$3/2)
 +Farmacologia!$B$4
 +Farmacologia!$B$6
 +(FarmacologiaAvancadaCalculo!$A107)
 +(Farmacologia!$B$5-100)
 +(Farmacologia!$B$7*5)
 +(Farmacologia!$B$8*FarmacologiaAvancadaCalculo!F$1)</f>
        <v>734</v>
      </c>
      <c r="G107">
        <f>Farmacologia!$B$2
 +(Farmacologia!$B$3/2)
 +Farmacologia!$B$4
 +Farmacologia!$B$6
 +(FarmacologiaAvancadaCalculo!$A107)
 +(Farmacologia!$B$5-100)
 +(Farmacologia!$B$7*5)
 +(Farmacologia!$B$8*FarmacologiaAvancadaCalculo!G$1)</f>
        <v>739</v>
      </c>
      <c r="H107">
        <f>Farmacologia!$B$2
 +(Farmacologia!$B$3/2)
 +Farmacologia!$B$4
 +Farmacologia!$B$6
 +(FarmacologiaAvancadaCalculo!$A107)
 +(Farmacologia!$B$5-100)
 +(Farmacologia!$B$7*5)
 +(Farmacologia!$B$8*FarmacologiaAvancadaCalculo!H$1)</f>
        <v>744</v>
      </c>
      <c r="M107">
        <v>624</v>
      </c>
    </row>
    <row r="108" spans="1:13" x14ac:dyDescent="0.25">
      <c r="A108">
        <v>136</v>
      </c>
      <c r="B108">
        <f>Farmacologia!$B$2
 +(Farmacologia!$B$3/2)
 +Farmacologia!$B$4
 +Farmacologia!$B$6
 +(FarmacologiaAvancadaCalculo!$A108)
 +(Farmacologia!$B$5-100)
 +(Farmacologia!$B$7*5)
 +(Farmacologia!$B$8*FarmacologiaAvancadaCalculo!B$1)</f>
        <v>715</v>
      </c>
      <c r="C108">
        <f>Farmacologia!$B$2
 +(Farmacologia!$B$3/2)
 +Farmacologia!$B$4
 +Farmacologia!$B$6
 +(FarmacologiaAvancadaCalculo!$A108)
 +(Farmacologia!$B$5-100)
 +(Farmacologia!$B$7*5)
 +(Farmacologia!$B$8*FarmacologiaAvancadaCalculo!C$1)</f>
        <v>720</v>
      </c>
      <c r="D108">
        <f>Farmacologia!$B$2
 +(Farmacologia!$B$3/2)
 +Farmacologia!$B$4
 +Farmacologia!$B$6
 +(FarmacologiaAvancadaCalculo!$A108)
 +(Farmacologia!$B$5-100)
 +(Farmacologia!$B$7*5)
 +(Farmacologia!$B$8*FarmacologiaAvancadaCalculo!D$1)</f>
        <v>725</v>
      </c>
      <c r="E108">
        <f>Farmacologia!$B$2
 +(Farmacologia!$B$3/2)
 +Farmacologia!$B$4
 +Farmacologia!$B$6
 +(FarmacologiaAvancadaCalculo!$A108)
 +(Farmacologia!$B$5-100)
 +(Farmacologia!$B$7*5)
 +(Farmacologia!$B$8*FarmacologiaAvancadaCalculo!E$1)</f>
        <v>730</v>
      </c>
      <c r="F108">
        <f>Farmacologia!$B$2
 +(Farmacologia!$B$3/2)
 +Farmacologia!$B$4
 +Farmacologia!$B$6
 +(FarmacologiaAvancadaCalculo!$A108)
 +(Farmacologia!$B$5-100)
 +(Farmacologia!$B$7*5)
 +(Farmacologia!$B$8*FarmacologiaAvancadaCalculo!F$1)</f>
        <v>735</v>
      </c>
      <c r="G108">
        <f>Farmacologia!$B$2
 +(Farmacologia!$B$3/2)
 +Farmacologia!$B$4
 +Farmacologia!$B$6
 +(FarmacologiaAvancadaCalculo!$A108)
 +(Farmacologia!$B$5-100)
 +(Farmacologia!$B$7*5)
 +(Farmacologia!$B$8*FarmacologiaAvancadaCalculo!G$1)</f>
        <v>740</v>
      </c>
      <c r="H108">
        <f>Farmacologia!$B$2
 +(Farmacologia!$B$3/2)
 +Farmacologia!$B$4
 +Farmacologia!$B$6
 +(FarmacologiaAvancadaCalculo!$A108)
 +(Farmacologia!$B$5-100)
 +(Farmacologia!$B$7*5)
 +(Farmacologia!$B$8*FarmacologiaAvancadaCalculo!H$1)</f>
        <v>745</v>
      </c>
      <c r="M108">
        <v>629</v>
      </c>
    </row>
    <row r="109" spans="1:13" x14ac:dyDescent="0.25">
      <c r="A109">
        <v>137</v>
      </c>
      <c r="B109">
        <f>Farmacologia!$B$2
 +(Farmacologia!$B$3/2)
 +Farmacologia!$B$4
 +Farmacologia!$B$6
 +(FarmacologiaAvancadaCalculo!$A109)
 +(Farmacologia!$B$5-100)
 +(Farmacologia!$B$7*5)
 +(Farmacologia!$B$8*FarmacologiaAvancadaCalculo!B$1)</f>
        <v>716</v>
      </c>
      <c r="C109">
        <f>Farmacologia!$B$2
 +(Farmacologia!$B$3/2)
 +Farmacologia!$B$4
 +Farmacologia!$B$6
 +(FarmacologiaAvancadaCalculo!$A109)
 +(Farmacologia!$B$5-100)
 +(Farmacologia!$B$7*5)
 +(Farmacologia!$B$8*FarmacologiaAvancadaCalculo!C$1)</f>
        <v>721</v>
      </c>
      <c r="D109">
        <f>Farmacologia!$B$2
 +(Farmacologia!$B$3/2)
 +Farmacologia!$B$4
 +Farmacologia!$B$6
 +(FarmacologiaAvancadaCalculo!$A109)
 +(Farmacologia!$B$5-100)
 +(Farmacologia!$B$7*5)
 +(Farmacologia!$B$8*FarmacologiaAvancadaCalculo!D$1)</f>
        <v>726</v>
      </c>
      <c r="E109">
        <f>Farmacologia!$B$2
 +(Farmacologia!$B$3/2)
 +Farmacologia!$B$4
 +Farmacologia!$B$6
 +(FarmacologiaAvancadaCalculo!$A109)
 +(Farmacologia!$B$5-100)
 +(Farmacologia!$B$7*5)
 +(Farmacologia!$B$8*FarmacologiaAvancadaCalculo!E$1)</f>
        <v>731</v>
      </c>
      <c r="F109">
        <f>Farmacologia!$B$2
 +(Farmacologia!$B$3/2)
 +Farmacologia!$B$4
 +Farmacologia!$B$6
 +(FarmacologiaAvancadaCalculo!$A109)
 +(Farmacologia!$B$5-100)
 +(Farmacologia!$B$7*5)
 +(Farmacologia!$B$8*FarmacologiaAvancadaCalculo!F$1)</f>
        <v>736</v>
      </c>
      <c r="G109">
        <f>Farmacologia!$B$2
 +(Farmacologia!$B$3/2)
 +Farmacologia!$B$4
 +Farmacologia!$B$6
 +(FarmacologiaAvancadaCalculo!$A109)
 +(Farmacologia!$B$5-100)
 +(Farmacologia!$B$7*5)
 +(Farmacologia!$B$8*FarmacologiaAvancadaCalculo!G$1)</f>
        <v>741</v>
      </c>
      <c r="H109">
        <f>Farmacologia!$B$2
 +(Farmacologia!$B$3/2)
 +Farmacologia!$B$4
 +Farmacologia!$B$6
 +(FarmacologiaAvancadaCalculo!$A109)
 +(Farmacologia!$B$5-100)
 +(Farmacologia!$B$7*5)
 +(Farmacologia!$B$8*FarmacologiaAvancadaCalculo!H$1)</f>
        <v>746</v>
      </c>
      <c r="M109">
        <v>634</v>
      </c>
    </row>
    <row r="110" spans="1:13" x14ac:dyDescent="0.25">
      <c r="A110">
        <v>138</v>
      </c>
      <c r="B110">
        <f>Farmacologia!$B$2
 +(Farmacologia!$B$3/2)
 +Farmacologia!$B$4
 +Farmacologia!$B$6
 +(FarmacologiaAvancadaCalculo!$A110)
 +(Farmacologia!$B$5-100)
 +(Farmacologia!$B$7*5)
 +(Farmacologia!$B$8*FarmacologiaAvancadaCalculo!B$1)</f>
        <v>717</v>
      </c>
      <c r="C110">
        <f>Farmacologia!$B$2
 +(Farmacologia!$B$3/2)
 +Farmacologia!$B$4
 +Farmacologia!$B$6
 +(FarmacologiaAvancadaCalculo!$A110)
 +(Farmacologia!$B$5-100)
 +(Farmacologia!$B$7*5)
 +(Farmacologia!$B$8*FarmacologiaAvancadaCalculo!C$1)</f>
        <v>722</v>
      </c>
      <c r="D110">
        <f>Farmacologia!$B$2
 +(Farmacologia!$B$3/2)
 +Farmacologia!$B$4
 +Farmacologia!$B$6
 +(FarmacologiaAvancadaCalculo!$A110)
 +(Farmacologia!$B$5-100)
 +(Farmacologia!$B$7*5)
 +(Farmacologia!$B$8*FarmacologiaAvancadaCalculo!D$1)</f>
        <v>727</v>
      </c>
      <c r="E110">
        <f>Farmacologia!$B$2
 +(Farmacologia!$B$3/2)
 +Farmacologia!$B$4
 +Farmacologia!$B$6
 +(FarmacologiaAvancadaCalculo!$A110)
 +(Farmacologia!$B$5-100)
 +(Farmacologia!$B$7*5)
 +(Farmacologia!$B$8*FarmacologiaAvancadaCalculo!E$1)</f>
        <v>732</v>
      </c>
      <c r="F110">
        <f>Farmacologia!$B$2
 +(Farmacologia!$B$3/2)
 +Farmacologia!$B$4
 +Farmacologia!$B$6
 +(FarmacologiaAvancadaCalculo!$A110)
 +(Farmacologia!$B$5-100)
 +(Farmacologia!$B$7*5)
 +(Farmacologia!$B$8*FarmacologiaAvancadaCalculo!F$1)</f>
        <v>737</v>
      </c>
      <c r="G110">
        <f>Farmacologia!$B$2
 +(Farmacologia!$B$3/2)
 +Farmacologia!$B$4
 +Farmacologia!$B$6
 +(FarmacologiaAvancadaCalculo!$A110)
 +(Farmacologia!$B$5-100)
 +(Farmacologia!$B$7*5)
 +(Farmacologia!$B$8*FarmacologiaAvancadaCalculo!G$1)</f>
        <v>742</v>
      </c>
      <c r="H110">
        <f>Farmacologia!$B$2
 +(Farmacologia!$B$3/2)
 +Farmacologia!$B$4
 +Farmacologia!$B$6
 +(FarmacologiaAvancadaCalculo!$A110)
 +(Farmacologia!$B$5-100)
 +(Farmacologia!$B$7*5)
 +(Farmacologia!$B$8*FarmacologiaAvancadaCalculo!H$1)</f>
        <v>747</v>
      </c>
      <c r="M110">
        <v>639</v>
      </c>
    </row>
    <row r="111" spans="1:13" x14ac:dyDescent="0.25">
      <c r="A111">
        <v>139</v>
      </c>
      <c r="B111">
        <f>Farmacologia!$B$2
 +(Farmacologia!$B$3/2)
 +Farmacologia!$B$4
 +Farmacologia!$B$6
 +(FarmacologiaAvancadaCalculo!$A111)
 +(Farmacologia!$B$5-100)
 +(Farmacologia!$B$7*5)
 +(Farmacologia!$B$8*FarmacologiaAvancadaCalculo!B$1)</f>
        <v>718</v>
      </c>
      <c r="C111">
        <f>Farmacologia!$B$2
 +(Farmacologia!$B$3/2)
 +Farmacologia!$B$4
 +Farmacologia!$B$6
 +(FarmacologiaAvancadaCalculo!$A111)
 +(Farmacologia!$B$5-100)
 +(Farmacologia!$B$7*5)
 +(Farmacologia!$B$8*FarmacologiaAvancadaCalculo!C$1)</f>
        <v>723</v>
      </c>
      <c r="D111">
        <f>Farmacologia!$B$2
 +(Farmacologia!$B$3/2)
 +Farmacologia!$B$4
 +Farmacologia!$B$6
 +(FarmacologiaAvancadaCalculo!$A111)
 +(Farmacologia!$B$5-100)
 +(Farmacologia!$B$7*5)
 +(Farmacologia!$B$8*FarmacologiaAvancadaCalculo!D$1)</f>
        <v>728</v>
      </c>
      <c r="E111">
        <f>Farmacologia!$B$2
 +(Farmacologia!$B$3/2)
 +Farmacologia!$B$4
 +Farmacologia!$B$6
 +(FarmacologiaAvancadaCalculo!$A111)
 +(Farmacologia!$B$5-100)
 +(Farmacologia!$B$7*5)
 +(Farmacologia!$B$8*FarmacologiaAvancadaCalculo!E$1)</f>
        <v>733</v>
      </c>
      <c r="F111">
        <f>Farmacologia!$B$2
 +(Farmacologia!$B$3/2)
 +Farmacologia!$B$4
 +Farmacologia!$B$6
 +(FarmacologiaAvancadaCalculo!$A111)
 +(Farmacologia!$B$5-100)
 +(Farmacologia!$B$7*5)
 +(Farmacologia!$B$8*FarmacologiaAvancadaCalculo!F$1)</f>
        <v>738</v>
      </c>
      <c r="G111">
        <f>Farmacologia!$B$2
 +(Farmacologia!$B$3/2)
 +Farmacologia!$B$4
 +Farmacologia!$B$6
 +(FarmacologiaAvancadaCalculo!$A111)
 +(Farmacologia!$B$5-100)
 +(Farmacologia!$B$7*5)
 +(Farmacologia!$B$8*FarmacologiaAvancadaCalculo!G$1)</f>
        <v>743</v>
      </c>
      <c r="H111">
        <f>Farmacologia!$B$2
 +(Farmacologia!$B$3/2)
 +Farmacologia!$B$4
 +Farmacologia!$B$6
 +(FarmacologiaAvancadaCalculo!$A111)
 +(Farmacologia!$B$5-100)
 +(Farmacologia!$B$7*5)
 +(Farmacologia!$B$8*FarmacologiaAvancadaCalculo!H$1)</f>
        <v>748</v>
      </c>
      <c r="M111">
        <v>644</v>
      </c>
    </row>
    <row r="112" spans="1:13" x14ac:dyDescent="0.25">
      <c r="A112">
        <v>140</v>
      </c>
      <c r="B112">
        <f>Farmacologia!$B$2
 +(Farmacologia!$B$3/2)
 +Farmacologia!$B$4
 +Farmacologia!$B$6
 +(FarmacologiaAvancadaCalculo!$A112)
 +(Farmacologia!$B$5-100)
 +(Farmacologia!$B$7*5)
 +(Farmacologia!$B$8*FarmacologiaAvancadaCalculo!B$1)</f>
        <v>719</v>
      </c>
      <c r="C112">
        <f>Farmacologia!$B$2
 +(Farmacologia!$B$3/2)
 +Farmacologia!$B$4
 +Farmacologia!$B$6
 +(FarmacologiaAvancadaCalculo!$A112)
 +(Farmacologia!$B$5-100)
 +(Farmacologia!$B$7*5)
 +(Farmacologia!$B$8*FarmacologiaAvancadaCalculo!C$1)</f>
        <v>724</v>
      </c>
      <c r="D112">
        <f>Farmacologia!$B$2
 +(Farmacologia!$B$3/2)
 +Farmacologia!$B$4
 +Farmacologia!$B$6
 +(FarmacologiaAvancadaCalculo!$A112)
 +(Farmacologia!$B$5-100)
 +(Farmacologia!$B$7*5)
 +(Farmacologia!$B$8*FarmacologiaAvancadaCalculo!D$1)</f>
        <v>729</v>
      </c>
      <c r="E112">
        <f>Farmacologia!$B$2
 +(Farmacologia!$B$3/2)
 +Farmacologia!$B$4
 +Farmacologia!$B$6
 +(FarmacologiaAvancadaCalculo!$A112)
 +(Farmacologia!$B$5-100)
 +(Farmacologia!$B$7*5)
 +(Farmacologia!$B$8*FarmacologiaAvancadaCalculo!E$1)</f>
        <v>734</v>
      </c>
      <c r="F112">
        <f>Farmacologia!$B$2
 +(Farmacologia!$B$3/2)
 +Farmacologia!$B$4
 +Farmacologia!$B$6
 +(FarmacologiaAvancadaCalculo!$A112)
 +(Farmacologia!$B$5-100)
 +(Farmacologia!$B$7*5)
 +(Farmacologia!$B$8*FarmacologiaAvancadaCalculo!F$1)</f>
        <v>739</v>
      </c>
      <c r="G112">
        <f>Farmacologia!$B$2
 +(Farmacologia!$B$3/2)
 +Farmacologia!$B$4
 +Farmacologia!$B$6
 +(FarmacologiaAvancadaCalculo!$A112)
 +(Farmacologia!$B$5-100)
 +(Farmacologia!$B$7*5)
 +(Farmacologia!$B$8*FarmacologiaAvancadaCalculo!G$1)</f>
        <v>744</v>
      </c>
      <c r="H112">
        <f>Farmacologia!$B$2
 +(Farmacologia!$B$3/2)
 +Farmacologia!$B$4
 +Farmacologia!$B$6
 +(FarmacologiaAvancadaCalculo!$A112)
 +(Farmacologia!$B$5-100)
 +(Farmacologia!$B$7*5)
 +(Farmacologia!$B$8*FarmacologiaAvancadaCalculo!H$1)</f>
        <v>749</v>
      </c>
      <c r="M112">
        <v>649</v>
      </c>
    </row>
    <row r="113" spans="1:13" x14ac:dyDescent="0.25">
      <c r="A113">
        <v>141</v>
      </c>
      <c r="B113">
        <f>Farmacologia!$B$2
 +(Farmacologia!$B$3/2)
 +Farmacologia!$B$4
 +Farmacologia!$B$6
 +(FarmacologiaAvancadaCalculo!$A113)
 +(Farmacologia!$B$5-100)
 +(Farmacologia!$B$7*5)
 +(Farmacologia!$B$8*FarmacologiaAvancadaCalculo!B$1)</f>
        <v>720</v>
      </c>
      <c r="C113">
        <f>Farmacologia!$B$2
 +(Farmacologia!$B$3/2)
 +Farmacologia!$B$4
 +Farmacologia!$B$6
 +(FarmacologiaAvancadaCalculo!$A113)
 +(Farmacologia!$B$5-100)
 +(Farmacologia!$B$7*5)
 +(Farmacologia!$B$8*FarmacologiaAvancadaCalculo!C$1)</f>
        <v>725</v>
      </c>
      <c r="D113">
        <f>Farmacologia!$B$2
 +(Farmacologia!$B$3/2)
 +Farmacologia!$B$4
 +Farmacologia!$B$6
 +(FarmacologiaAvancadaCalculo!$A113)
 +(Farmacologia!$B$5-100)
 +(Farmacologia!$B$7*5)
 +(Farmacologia!$B$8*FarmacologiaAvancadaCalculo!D$1)</f>
        <v>730</v>
      </c>
      <c r="E113">
        <f>Farmacologia!$B$2
 +(Farmacologia!$B$3/2)
 +Farmacologia!$B$4
 +Farmacologia!$B$6
 +(FarmacologiaAvancadaCalculo!$A113)
 +(Farmacologia!$B$5-100)
 +(Farmacologia!$B$7*5)
 +(Farmacologia!$B$8*FarmacologiaAvancadaCalculo!E$1)</f>
        <v>735</v>
      </c>
      <c r="F113">
        <f>Farmacologia!$B$2
 +(Farmacologia!$B$3/2)
 +Farmacologia!$B$4
 +Farmacologia!$B$6
 +(FarmacologiaAvancadaCalculo!$A113)
 +(Farmacologia!$B$5-100)
 +(Farmacologia!$B$7*5)
 +(Farmacologia!$B$8*FarmacologiaAvancadaCalculo!F$1)</f>
        <v>740</v>
      </c>
      <c r="G113">
        <f>Farmacologia!$B$2
 +(Farmacologia!$B$3/2)
 +Farmacologia!$B$4
 +Farmacologia!$B$6
 +(FarmacologiaAvancadaCalculo!$A113)
 +(Farmacologia!$B$5-100)
 +(Farmacologia!$B$7*5)
 +(Farmacologia!$B$8*FarmacologiaAvancadaCalculo!G$1)</f>
        <v>745</v>
      </c>
      <c r="H113">
        <f>Farmacologia!$B$2
 +(Farmacologia!$B$3/2)
 +Farmacologia!$B$4
 +Farmacologia!$B$6
 +(FarmacologiaAvancadaCalculo!$A113)
 +(Farmacologia!$B$5-100)
 +(Farmacologia!$B$7*5)
 +(Farmacologia!$B$8*FarmacologiaAvancadaCalculo!H$1)</f>
        <v>750</v>
      </c>
      <c r="M113">
        <v>654</v>
      </c>
    </row>
    <row r="114" spans="1:13" x14ac:dyDescent="0.25">
      <c r="A114">
        <v>142</v>
      </c>
      <c r="B114">
        <f>Farmacologia!$B$2
 +(Farmacologia!$B$3/2)
 +Farmacologia!$B$4
 +Farmacologia!$B$6
 +(FarmacologiaAvancadaCalculo!$A114)
 +(Farmacologia!$B$5-100)
 +(Farmacologia!$B$7*5)
 +(Farmacologia!$B$8*FarmacologiaAvancadaCalculo!B$1)</f>
        <v>721</v>
      </c>
      <c r="C114">
        <f>Farmacologia!$B$2
 +(Farmacologia!$B$3/2)
 +Farmacologia!$B$4
 +Farmacologia!$B$6
 +(FarmacologiaAvancadaCalculo!$A114)
 +(Farmacologia!$B$5-100)
 +(Farmacologia!$B$7*5)
 +(Farmacologia!$B$8*FarmacologiaAvancadaCalculo!C$1)</f>
        <v>726</v>
      </c>
      <c r="D114">
        <f>Farmacologia!$B$2
 +(Farmacologia!$B$3/2)
 +Farmacologia!$B$4
 +Farmacologia!$B$6
 +(FarmacologiaAvancadaCalculo!$A114)
 +(Farmacologia!$B$5-100)
 +(Farmacologia!$B$7*5)
 +(Farmacologia!$B$8*FarmacologiaAvancadaCalculo!D$1)</f>
        <v>731</v>
      </c>
      <c r="E114">
        <f>Farmacologia!$B$2
 +(Farmacologia!$B$3/2)
 +Farmacologia!$B$4
 +Farmacologia!$B$6
 +(FarmacologiaAvancadaCalculo!$A114)
 +(Farmacologia!$B$5-100)
 +(Farmacologia!$B$7*5)
 +(Farmacologia!$B$8*FarmacologiaAvancadaCalculo!E$1)</f>
        <v>736</v>
      </c>
      <c r="F114">
        <f>Farmacologia!$B$2
 +(Farmacologia!$B$3/2)
 +Farmacologia!$B$4
 +Farmacologia!$B$6
 +(FarmacologiaAvancadaCalculo!$A114)
 +(Farmacologia!$B$5-100)
 +(Farmacologia!$B$7*5)
 +(Farmacologia!$B$8*FarmacologiaAvancadaCalculo!F$1)</f>
        <v>741</v>
      </c>
      <c r="G114">
        <f>Farmacologia!$B$2
 +(Farmacologia!$B$3/2)
 +Farmacologia!$B$4
 +Farmacologia!$B$6
 +(FarmacologiaAvancadaCalculo!$A114)
 +(Farmacologia!$B$5-100)
 +(Farmacologia!$B$7*5)
 +(Farmacologia!$B$8*FarmacologiaAvancadaCalculo!G$1)</f>
        <v>746</v>
      </c>
      <c r="H114">
        <f>Farmacologia!$B$2
 +(Farmacologia!$B$3/2)
 +Farmacologia!$B$4
 +Farmacologia!$B$6
 +(FarmacologiaAvancadaCalculo!$A114)
 +(Farmacologia!$B$5-100)
 +(Farmacologia!$B$7*5)
 +(Farmacologia!$B$8*FarmacologiaAvancadaCalculo!H$1)</f>
        <v>751</v>
      </c>
      <c r="M114">
        <v>625</v>
      </c>
    </row>
    <row r="115" spans="1:13" x14ac:dyDescent="0.25">
      <c r="A115">
        <v>143</v>
      </c>
      <c r="B115">
        <f>Farmacologia!$B$2
 +(Farmacologia!$B$3/2)
 +Farmacologia!$B$4
 +Farmacologia!$B$6
 +(FarmacologiaAvancadaCalculo!$A115)
 +(Farmacologia!$B$5-100)
 +(Farmacologia!$B$7*5)
 +(Farmacologia!$B$8*FarmacologiaAvancadaCalculo!B$1)</f>
        <v>722</v>
      </c>
      <c r="C115">
        <f>Farmacologia!$B$2
 +(Farmacologia!$B$3/2)
 +Farmacologia!$B$4
 +Farmacologia!$B$6
 +(FarmacologiaAvancadaCalculo!$A115)
 +(Farmacologia!$B$5-100)
 +(Farmacologia!$B$7*5)
 +(Farmacologia!$B$8*FarmacologiaAvancadaCalculo!C$1)</f>
        <v>727</v>
      </c>
      <c r="D115">
        <f>Farmacologia!$B$2
 +(Farmacologia!$B$3/2)
 +Farmacologia!$B$4
 +Farmacologia!$B$6
 +(FarmacologiaAvancadaCalculo!$A115)
 +(Farmacologia!$B$5-100)
 +(Farmacologia!$B$7*5)
 +(Farmacologia!$B$8*FarmacologiaAvancadaCalculo!D$1)</f>
        <v>732</v>
      </c>
      <c r="E115">
        <f>Farmacologia!$B$2
 +(Farmacologia!$B$3/2)
 +Farmacologia!$B$4
 +Farmacologia!$B$6
 +(FarmacologiaAvancadaCalculo!$A115)
 +(Farmacologia!$B$5-100)
 +(Farmacologia!$B$7*5)
 +(Farmacologia!$B$8*FarmacologiaAvancadaCalculo!E$1)</f>
        <v>737</v>
      </c>
      <c r="F115">
        <f>Farmacologia!$B$2
 +(Farmacologia!$B$3/2)
 +Farmacologia!$B$4
 +Farmacologia!$B$6
 +(FarmacologiaAvancadaCalculo!$A115)
 +(Farmacologia!$B$5-100)
 +(Farmacologia!$B$7*5)
 +(Farmacologia!$B$8*FarmacologiaAvancadaCalculo!F$1)</f>
        <v>742</v>
      </c>
      <c r="G115">
        <f>Farmacologia!$B$2
 +(Farmacologia!$B$3/2)
 +Farmacologia!$B$4
 +Farmacologia!$B$6
 +(FarmacologiaAvancadaCalculo!$A115)
 +(Farmacologia!$B$5-100)
 +(Farmacologia!$B$7*5)
 +(Farmacologia!$B$8*FarmacologiaAvancadaCalculo!G$1)</f>
        <v>747</v>
      </c>
      <c r="H115">
        <f>Farmacologia!$B$2
 +(Farmacologia!$B$3/2)
 +Farmacologia!$B$4
 +Farmacologia!$B$6
 +(FarmacologiaAvancadaCalculo!$A115)
 +(Farmacologia!$B$5-100)
 +(Farmacologia!$B$7*5)
 +(Farmacologia!$B$8*FarmacologiaAvancadaCalculo!H$1)</f>
        <v>752</v>
      </c>
      <c r="M115">
        <v>630</v>
      </c>
    </row>
    <row r="116" spans="1:13" x14ac:dyDescent="0.25">
      <c r="A116">
        <v>144</v>
      </c>
      <c r="B116">
        <f>Farmacologia!$B$2
 +(Farmacologia!$B$3/2)
 +Farmacologia!$B$4
 +Farmacologia!$B$6
 +(FarmacologiaAvancadaCalculo!$A116)
 +(Farmacologia!$B$5-100)
 +(Farmacologia!$B$7*5)
 +(Farmacologia!$B$8*FarmacologiaAvancadaCalculo!B$1)</f>
        <v>723</v>
      </c>
      <c r="C116">
        <f>Farmacologia!$B$2
 +(Farmacologia!$B$3/2)
 +Farmacologia!$B$4
 +Farmacologia!$B$6
 +(FarmacologiaAvancadaCalculo!$A116)
 +(Farmacologia!$B$5-100)
 +(Farmacologia!$B$7*5)
 +(Farmacologia!$B$8*FarmacologiaAvancadaCalculo!C$1)</f>
        <v>728</v>
      </c>
      <c r="D116">
        <f>Farmacologia!$B$2
 +(Farmacologia!$B$3/2)
 +Farmacologia!$B$4
 +Farmacologia!$B$6
 +(FarmacologiaAvancadaCalculo!$A116)
 +(Farmacologia!$B$5-100)
 +(Farmacologia!$B$7*5)
 +(Farmacologia!$B$8*FarmacologiaAvancadaCalculo!D$1)</f>
        <v>733</v>
      </c>
      <c r="E116">
        <f>Farmacologia!$B$2
 +(Farmacologia!$B$3/2)
 +Farmacologia!$B$4
 +Farmacologia!$B$6
 +(FarmacologiaAvancadaCalculo!$A116)
 +(Farmacologia!$B$5-100)
 +(Farmacologia!$B$7*5)
 +(Farmacologia!$B$8*FarmacologiaAvancadaCalculo!E$1)</f>
        <v>738</v>
      </c>
      <c r="F116">
        <f>Farmacologia!$B$2
 +(Farmacologia!$B$3/2)
 +Farmacologia!$B$4
 +Farmacologia!$B$6
 +(FarmacologiaAvancadaCalculo!$A116)
 +(Farmacologia!$B$5-100)
 +(Farmacologia!$B$7*5)
 +(Farmacologia!$B$8*FarmacologiaAvancadaCalculo!F$1)</f>
        <v>743</v>
      </c>
      <c r="G116">
        <f>Farmacologia!$B$2
 +(Farmacologia!$B$3/2)
 +Farmacologia!$B$4
 +Farmacologia!$B$6
 +(FarmacologiaAvancadaCalculo!$A116)
 +(Farmacologia!$B$5-100)
 +(Farmacologia!$B$7*5)
 +(Farmacologia!$B$8*FarmacologiaAvancadaCalculo!G$1)</f>
        <v>748</v>
      </c>
      <c r="H116">
        <f>Farmacologia!$B$2
 +(Farmacologia!$B$3/2)
 +Farmacologia!$B$4
 +Farmacologia!$B$6
 +(FarmacologiaAvancadaCalculo!$A116)
 +(Farmacologia!$B$5-100)
 +(Farmacologia!$B$7*5)
 +(Farmacologia!$B$8*FarmacologiaAvancadaCalculo!H$1)</f>
        <v>753</v>
      </c>
      <c r="M116">
        <v>635</v>
      </c>
    </row>
    <row r="117" spans="1:13" x14ac:dyDescent="0.25">
      <c r="A117">
        <v>145</v>
      </c>
      <c r="B117">
        <f>Farmacologia!$B$2
 +(Farmacologia!$B$3/2)
 +Farmacologia!$B$4
 +Farmacologia!$B$6
 +(FarmacologiaAvancadaCalculo!$A117)
 +(Farmacologia!$B$5-100)
 +(Farmacologia!$B$7*5)
 +(Farmacologia!$B$8*FarmacologiaAvancadaCalculo!B$1)</f>
        <v>724</v>
      </c>
      <c r="C117">
        <f>Farmacologia!$B$2
 +(Farmacologia!$B$3/2)
 +Farmacologia!$B$4
 +Farmacologia!$B$6
 +(FarmacologiaAvancadaCalculo!$A117)
 +(Farmacologia!$B$5-100)
 +(Farmacologia!$B$7*5)
 +(Farmacologia!$B$8*FarmacologiaAvancadaCalculo!C$1)</f>
        <v>729</v>
      </c>
      <c r="D117">
        <f>Farmacologia!$B$2
 +(Farmacologia!$B$3/2)
 +Farmacologia!$B$4
 +Farmacologia!$B$6
 +(FarmacologiaAvancadaCalculo!$A117)
 +(Farmacologia!$B$5-100)
 +(Farmacologia!$B$7*5)
 +(Farmacologia!$B$8*FarmacologiaAvancadaCalculo!D$1)</f>
        <v>734</v>
      </c>
      <c r="E117">
        <f>Farmacologia!$B$2
 +(Farmacologia!$B$3/2)
 +Farmacologia!$B$4
 +Farmacologia!$B$6
 +(FarmacologiaAvancadaCalculo!$A117)
 +(Farmacologia!$B$5-100)
 +(Farmacologia!$B$7*5)
 +(Farmacologia!$B$8*FarmacologiaAvancadaCalculo!E$1)</f>
        <v>739</v>
      </c>
      <c r="F117">
        <f>Farmacologia!$B$2
 +(Farmacologia!$B$3/2)
 +Farmacologia!$B$4
 +Farmacologia!$B$6
 +(FarmacologiaAvancadaCalculo!$A117)
 +(Farmacologia!$B$5-100)
 +(Farmacologia!$B$7*5)
 +(Farmacologia!$B$8*FarmacologiaAvancadaCalculo!F$1)</f>
        <v>744</v>
      </c>
      <c r="G117">
        <f>Farmacologia!$B$2
 +(Farmacologia!$B$3/2)
 +Farmacologia!$B$4
 +Farmacologia!$B$6
 +(FarmacologiaAvancadaCalculo!$A117)
 +(Farmacologia!$B$5-100)
 +(Farmacologia!$B$7*5)
 +(Farmacologia!$B$8*FarmacologiaAvancadaCalculo!G$1)</f>
        <v>749</v>
      </c>
      <c r="H117">
        <f>Farmacologia!$B$2
 +(Farmacologia!$B$3/2)
 +Farmacologia!$B$4
 +Farmacologia!$B$6
 +(FarmacologiaAvancadaCalculo!$A117)
 +(Farmacologia!$B$5-100)
 +(Farmacologia!$B$7*5)
 +(Farmacologia!$B$8*FarmacologiaAvancadaCalculo!H$1)</f>
        <v>754</v>
      </c>
      <c r="M117">
        <v>640</v>
      </c>
    </row>
    <row r="118" spans="1:13" x14ac:dyDescent="0.25">
      <c r="A118">
        <v>146</v>
      </c>
      <c r="B118">
        <f>Farmacologia!$B$2
 +(Farmacologia!$B$3/2)
 +Farmacologia!$B$4
 +Farmacologia!$B$6
 +(FarmacologiaAvancadaCalculo!$A118)
 +(Farmacologia!$B$5-100)
 +(Farmacologia!$B$7*5)
 +(Farmacologia!$B$8*FarmacologiaAvancadaCalculo!B$1)</f>
        <v>725</v>
      </c>
      <c r="C118">
        <f>Farmacologia!$B$2
 +(Farmacologia!$B$3/2)
 +Farmacologia!$B$4
 +Farmacologia!$B$6
 +(FarmacologiaAvancadaCalculo!$A118)
 +(Farmacologia!$B$5-100)
 +(Farmacologia!$B$7*5)
 +(Farmacologia!$B$8*FarmacologiaAvancadaCalculo!C$1)</f>
        <v>730</v>
      </c>
      <c r="D118">
        <f>Farmacologia!$B$2
 +(Farmacologia!$B$3/2)
 +Farmacologia!$B$4
 +Farmacologia!$B$6
 +(FarmacologiaAvancadaCalculo!$A118)
 +(Farmacologia!$B$5-100)
 +(Farmacologia!$B$7*5)
 +(Farmacologia!$B$8*FarmacologiaAvancadaCalculo!D$1)</f>
        <v>735</v>
      </c>
      <c r="E118">
        <f>Farmacologia!$B$2
 +(Farmacologia!$B$3/2)
 +Farmacologia!$B$4
 +Farmacologia!$B$6
 +(FarmacologiaAvancadaCalculo!$A118)
 +(Farmacologia!$B$5-100)
 +(Farmacologia!$B$7*5)
 +(Farmacologia!$B$8*FarmacologiaAvancadaCalculo!E$1)</f>
        <v>740</v>
      </c>
      <c r="F118">
        <f>Farmacologia!$B$2
 +(Farmacologia!$B$3/2)
 +Farmacologia!$B$4
 +Farmacologia!$B$6
 +(FarmacologiaAvancadaCalculo!$A118)
 +(Farmacologia!$B$5-100)
 +(Farmacologia!$B$7*5)
 +(Farmacologia!$B$8*FarmacologiaAvancadaCalculo!F$1)</f>
        <v>745</v>
      </c>
      <c r="G118">
        <f>Farmacologia!$B$2
 +(Farmacologia!$B$3/2)
 +Farmacologia!$B$4
 +Farmacologia!$B$6
 +(FarmacologiaAvancadaCalculo!$A118)
 +(Farmacologia!$B$5-100)
 +(Farmacologia!$B$7*5)
 +(Farmacologia!$B$8*FarmacologiaAvancadaCalculo!G$1)</f>
        <v>750</v>
      </c>
      <c r="H118">
        <f>Farmacologia!$B$2
 +(Farmacologia!$B$3/2)
 +Farmacologia!$B$4
 +Farmacologia!$B$6
 +(FarmacologiaAvancadaCalculo!$A118)
 +(Farmacologia!$B$5-100)
 +(Farmacologia!$B$7*5)
 +(Farmacologia!$B$8*FarmacologiaAvancadaCalculo!H$1)</f>
        <v>755</v>
      </c>
      <c r="M118">
        <v>645</v>
      </c>
    </row>
    <row r="119" spans="1:13" x14ac:dyDescent="0.25">
      <c r="A119">
        <v>147</v>
      </c>
      <c r="B119">
        <f>Farmacologia!$B$2
 +(Farmacologia!$B$3/2)
 +Farmacologia!$B$4
 +Farmacologia!$B$6
 +(FarmacologiaAvancadaCalculo!$A119)
 +(Farmacologia!$B$5-100)
 +(Farmacologia!$B$7*5)
 +(Farmacologia!$B$8*FarmacologiaAvancadaCalculo!B$1)</f>
        <v>726</v>
      </c>
      <c r="C119">
        <f>Farmacologia!$B$2
 +(Farmacologia!$B$3/2)
 +Farmacologia!$B$4
 +Farmacologia!$B$6
 +(FarmacologiaAvancadaCalculo!$A119)
 +(Farmacologia!$B$5-100)
 +(Farmacologia!$B$7*5)
 +(Farmacologia!$B$8*FarmacologiaAvancadaCalculo!C$1)</f>
        <v>731</v>
      </c>
      <c r="D119">
        <f>Farmacologia!$B$2
 +(Farmacologia!$B$3/2)
 +Farmacologia!$B$4
 +Farmacologia!$B$6
 +(FarmacologiaAvancadaCalculo!$A119)
 +(Farmacologia!$B$5-100)
 +(Farmacologia!$B$7*5)
 +(Farmacologia!$B$8*FarmacologiaAvancadaCalculo!D$1)</f>
        <v>736</v>
      </c>
      <c r="E119">
        <f>Farmacologia!$B$2
 +(Farmacologia!$B$3/2)
 +Farmacologia!$B$4
 +Farmacologia!$B$6
 +(FarmacologiaAvancadaCalculo!$A119)
 +(Farmacologia!$B$5-100)
 +(Farmacologia!$B$7*5)
 +(Farmacologia!$B$8*FarmacologiaAvancadaCalculo!E$1)</f>
        <v>741</v>
      </c>
      <c r="F119">
        <f>Farmacologia!$B$2
 +(Farmacologia!$B$3/2)
 +Farmacologia!$B$4
 +Farmacologia!$B$6
 +(FarmacologiaAvancadaCalculo!$A119)
 +(Farmacologia!$B$5-100)
 +(Farmacologia!$B$7*5)
 +(Farmacologia!$B$8*FarmacologiaAvancadaCalculo!F$1)</f>
        <v>746</v>
      </c>
      <c r="G119">
        <f>Farmacologia!$B$2
 +(Farmacologia!$B$3/2)
 +Farmacologia!$B$4
 +Farmacologia!$B$6
 +(FarmacologiaAvancadaCalculo!$A119)
 +(Farmacologia!$B$5-100)
 +(Farmacologia!$B$7*5)
 +(Farmacologia!$B$8*FarmacologiaAvancadaCalculo!G$1)</f>
        <v>751</v>
      </c>
      <c r="H119">
        <f>Farmacologia!$B$2
 +(Farmacologia!$B$3/2)
 +Farmacologia!$B$4
 +Farmacologia!$B$6
 +(FarmacologiaAvancadaCalculo!$A119)
 +(Farmacologia!$B$5-100)
 +(Farmacologia!$B$7*5)
 +(Farmacologia!$B$8*FarmacologiaAvancadaCalculo!H$1)</f>
        <v>756</v>
      </c>
      <c r="M119">
        <v>650</v>
      </c>
    </row>
    <row r="120" spans="1:13" x14ac:dyDescent="0.25">
      <c r="A120">
        <v>148</v>
      </c>
      <c r="B120">
        <f>Farmacologia!$B$2
 +(Farmacologia!$B$3/2)
 +Farmacologia!$B$4
 +Farmacologia!$B$6
 +(FarmacologiaAvancadaCalculo!$A120)
 +(Farmacologia!$B$5-100)
 +(Farmacologia!$B$7*5)
 +(Farmacologia!$B$8*FarmacologiaAvancadaCalculo!B$1)</f>
        <v>727</v>
      </c>
      <c r="C120">
        <f>Farmacologia!$B$2
 +(Farmacologia!$B$3/2)
 +Farmacologia!$B$4
 +Farmacologia!$B$6
 +(FarmacologiaAvancadaCalculo!$A120)
 +(Farmacologia!$B$5-100)
 +(Farmacologia!$B$7*5)
 +(Farmacologia!$B$8*FarmacologiaAvancadaCalculo!C$1)</f>
        <v>732</v>
      </c>
      <c r="D120">
        <f>Farmacologia!$B$2
 +(Farmacologia!$B$3/2)
 +Farmacologia!$B$4
 +Farmacologia!$B$6
 +(FarmacologiaAvancadaCalculo!$A120)
 +(Farmacologia!$B$5-100)
 +(Farmacologia!$B$7*5)
 +(Farmacologia!$B$8*FarmacologiaAvancadaCalculo!D$1)</f>
        <v>737</v>
      </c>
      <c r="E120">
        <f>Farmacologia!$B$2
 +(Farmacologia!$B$3/2)
 +Farmacologia!$B$4
 +Farmacologia!$B$6
 +(FarmacologiaAvancadaCalculo!$A120)
 +(Farmacologia!$B$5-100)
 +(Farmacologia!$B$7*5)
 +(Farmacologia!$B$8*FarmacologiaAvancadaCalculo!E$1)</f>
        <v>742</v>
      </c>
      <c r="F120">
        <f>Farmacologia!$B$2
 +(Farmacologia!$B$3/2)
 +Farmacologia!$B$4
 +Farmacologia!$B$6
 +(FarmacologiaAvancadaCalculo!$A120)
 +(Farmacologia!$B$5-100)
 +(Farmacologia!$B$7*5)
 +(Farmacologia!$B$8*FarmacologiaAvancadaCalculo!F$1)</f>
        <v>747</v>
      </c>
      <c r="G120">
        <f>Farmacologia!$B$2
 +(Farmacologia!$B$3/2)
 +Farmacologia!$B$4
 +Farmacologia!$B$6
 +(FarmacologiaAvancadaCalculo!$A120)
 +(Farmacologia!$B$5-100)
 +(Farmacologia!$B$7*5)
 +(Farmacologia!$B$8*FarmacologiaAvancadaCalculo!G$1)</f>
        <v>752</v>
      </c>
      <c r="H120">
        <f>Farmacologia!$B$2
 +(Farmacologia!$B$3/2)
 +Farmacologia!$B$4
 +Farmacologia!$B$6
 +(FarmacologiaAvancadaCalculo!$A120)
 +(Farmacologia!$B$5-100)
 +(Farmacologia!$B$7*5)
 +(Farmacologia!$B$8*FarmacologiaAvancadaCalculo!H$1)</f>
        <v>757</v>
      </c>
      <c r="M120">
        <v>655</v>
      </c>
    </row>
    <row r="121" spans="1:13" x14ac:dyDescent="0.25">
      <c r="A121">
        <v>149</v>
      </c>
      <c r="B121">
        <f>Farmacologia!$B$2
 +(Farmacologia!$B$3/2)
 +Farmacologia!$B$4
 +Farmacologia!$B$6
 +(FarmacologiaAvancadaCalculo!$A121)
 +(Farmacologia!$B$5-100)
 +(Farmacologia!$B$7*5)
 +(Farmacologia!$B$8*FarmacologiaAvancadaCalculo!B$1)</f>
        <v>728</v>
      </c>
      <c r="C121">
        <f>Farmacologia!$B$2
 +(Farmacologia!$B$3/2)
 +Farmacologia!$B$4
 +Farmacologia!$B$6
 +(FarmacologiaAvancadaCalculo!$A121)
 +(Farmacologia!$B$5-100)
 +(Farmacologia!$B$7*5)
 +(Farmacologia!$B$8*FarmacologiaAvancadaCalculo!C$1)</f>
        <v>733</v>
      </c>
      <c r="D121">
        <f>Farmacologia!$B$2
 +(Farmacologia!$B$3/2)
 +Farmacologia!$B$4
 +Farmacologia!$B$6
 +(FarmacologiaAvancadaCalculo!$A121)
 +(Farmacologia!$B$5-100)
 +(Farmacologia!$B$7*5)
 +(Farmacologia!$B$8*FarmacologiaAvancadaCalculo!D$1)</f>
        <v>738</v>
      </c>
      <c r="E121">
        <f>Farmacologia!$B$2
 +(Farmacologia!$B$3/2)
 +Farmacologia!$B$4
 +Farmacologia!$B$6
 +(FarmacologiaAvancadaCalculo!$A121)
 +(Farmacologia!$B$5-100)
 +(Farmacologia!$B$7*5)
 +(Farmacologia!$B$8*FarmacologiaAvancadaCalculo!E$1)</f>
        <v>743</v>
      </c>
      <c r="F121">
        <f>Farmacologia!$B$2
 +(Farmacologia!$B$3/2)
 +Farmacologia!$B$4
 +Farmacologia!$B$6
 +(FarmacologiaAvancadaCalculo!$A121)
 +(Farmacologia!$B$5-100)
 +(Farmacologia!$B$7*5)
 +(Farmacologia!$B$8*FarmacologiaAvancadaCalculo!F$1)</f>
        <v>748</v>
      </c>
      <c r="G121">
        <f>Farmacologia!$B$2
 +(Farmacologia!$B$3/2)
 +Farmacologia!$B$4
 +Farmacologia!$B$6
 +(FarmacologiaAvancadaCalculo!$A121)
 +(Farmacologia!$B$5-100)
 +(Farmacologia!$B$7*5)
 +(Farmacologia!$B$8*FarmacologiaAvancadaCalculo!G$1)</f>
        <v>753</v>
      </c>
      <c r="H121">
        <f>Farmacologia!$B$2
 +(Farmacologia!$B$3/2)
 +Farmacologia!$B$4
 +Farmacologia!$B$6
 +(FarmacologiaAvancadaCalculo!$A121)
 +(Farmacologia!$B$5-100)
 +(Farmacologia!$B$7*5)
 +(Farmacologia!$B$8*FarmacologiaAvancadaCalculo!H$1)</f>
        <v>758</v>
      </c>
      <c r="M121">
        <v>626</v>
      </c>
    </row>
    <row r="122" spans="1:13" x14ac:dyDescent="0.25">
      <c r="A122">
        <v>150</v>
      </c>
      <c r="B122">
        <f>Farmacologia!$B$2
 +(Farmacologia!$B$3/2)
 +Farmacologia!$B$4
 +Farmacologia!$B$6
 +(FarmacologiaAvancadaCalculo!$A122)
 +(Farmacologia!$B$5-100)
 +(Farmacologia!$B$7*5)
 +(Farmacologia!$B$8*FarmacologiaAvancadaCalculo!B$1)</f>
        <v>729</v>
      </c>
      <c r="C122">
        <f>Farmacologia!$B$2
 +(Farmacologia!$B$3/2)
 +Farmacologia!$B$4
 +Farmacologia!$B$6
 +(FarmacologiaAvancadaCalculo!$A122)
 +(Farmacologia!$B$5-100)
 +(Farmacologia!$B$7*5)
 +(Farmacologia!$B$8*FarmacologiaAvancadaCalculo!C$1)</f>
        <v>734</v>
      </c>
      <c r="D122">
        <f>Farmacologia!$B$2
 +(Farmacologia!$B$3/2)
 +Farmacologia!$B$4
 +Farmacologia!$B$6
 +(FarmacologiaAvancadaCalculo!$A122)
 +(Farmacologia!$B$5-100)
 +(Farmacologia!$B$7*5)
 +(Farmacologia!$B$8*FarmacologiaAvancadaCalculo!D$1)</f>
        <v>739</v>
      </c>
      <c r="E122">
        <f>Farmacologia!$B$2
 +(Farmacologia!$B$3/2)
 +Farmacologia!$B$4
 +Farmacologia!$B$6
 +(FarmacologiaAvancadaCalculo!$A122)
 +(Farmacologia!$B$5-100)
 +(Farmacologia!$B$7*5)
 +(Farmacologia!$B$8*FarmacologiaAvancadaCalculo!E$1)</f>
        <v>744</v>
      </c>
      <c r="F122">
        <f>Farmacologia!$B$2
 +(Farmacologia!$B$3/2)
 +Farmacologia!$B$4
 +Farmacologia!$B$6
 +(FarmacologiaAvancadaCalculo!$A122)
 +(Farmacologia!$B$5-100)
 +(Farmacologia!$B$7*5)
 +(Farmacologia!$B$8*FarmacologiaAvancadaCalculo!F$1)</f>
        <v>749</v>
      </c>
      <c r="G122">
        <f>Farmacologia!$B$2
 +(Farmacologia!$B$3/2)
 +Farmacologia!$B$4
 +Farmacologia!$B$6
 +(FarmacologiaAvancadaCalculo!$A122)
 +(Farmacologia!$B$5-100)
 +(Farmacologia!$B$7*5)
 +(Farmacologia!$B$8*FarmacologiaAvancadaCalculo!G$1)</f>
        <v>754</v>
      </c>
      <c r="H122">
        <f>Farmacologia!$B$2
 +(Farmacologia!$B$3/2)
 +Farmacologia!$B$4
 +Farmacologia!$B$6
 +(FarmacologiaAvancadaCalculo!$A122)
 +(Farmacologia!$B$5-100)
 +(Farmacologia!$B$7*5)
 +(Farmacologia!$B$8*FarmacologiaAvancadaCalculo!H$1)</f>
        <v>759</v>
      </c>
      <c r="M122">
        <v>631</v>
      </c>
    </row>
    <row r="123" spans="1:13" x14ac:dyDescent="0.25">
      <c r="M123">
        <v>636</v>
      </c>
    </row>
    <row r="124" spans="1:13" x14ac:dyDescent="0.25">
      <c r="M124">
        <v>641</v>
      </c>
    </row>
    <row r="125" spans="1:13" x14ac:dyDescent="0.25">
      <c r="M125">
        <v>646</v>
      </c>
    </row>
    <row r="126" spans="1:13" x14ac:dyDescent="0.25">
      <c r="M126">
        <v>651</v>
      </c>
    </row>
    <row r="127" spans="1:13" x14ac:dyDescent="0.25">
      <c r="M127">
        <v>656</v>
      </c>
    </row>
    <row r="128" spans="1:13" x14ac:dyDescent="0.25">
      <c r="M128">
        <v>627</v>
      </c>
    </row>
    <row r="129" spans="13:13" x14ac:dyDescent="0.25">
      <c r="M129">
        <v>632</v>
      </c>
    </row>
    <row r="130" spans="13:13" x14ac:dyDescent="0.25">
      <c r="M130">
        <v>637</v>
      </c>
    </row>
    <row r="131" spans="13:13" x14ac:dyDescent="0.25">
      <c r="M131">
        <v>642</v>
      </c>
    </row>
    <row r="132" spans="13:13" x14ac:dyDescent="0.25">
      <c r="M132">
        <v>647</v>
      </c>
    </row>
    <row r="133" spans="13:13" x14ac:dyDescent="0.25">
      <c r="M133">
        <v>652</v>
      </c>
    </row>
    <row r="134" spans="13:13" x14ac:dyDescent="0.25">
      <c r="M134">
        <v>657</v>
      </c>
    </row>
    <row r="135" spans="13:13" x14ac:dyDescent="0.25">
      <c r="M135">
        <v>628</v>
      </c>
    </row>
    <row r="136" spans="13:13" x14ac:dyDescent="0.25">
      <c r="M136">
        <v>633</v>
      </c>
    </row>
    <row r="137" spans="13:13" x14ac:dyDescent="0.25">
      <c r="M137">
        <v>638</v>
      </c>
    </row>
    <row r="138" spans="13:13" x14ac:dyDescent="0.25">
      <c r="M138">
        <v>643</v>
      </c>
    </row>
    <row r="139" spans="13:13" x14ac:dyDescent="0.25">
      <c r="M139">
        <v>648</v>
      </c>
    </row>
    <row r="140" spans="13:13" x14ac:dyDescent="0.25">
      <c r="M140">
        <v>653</v>
      </c>
    </row>
    <row r="141" spans="13:13" x14ac:dyDescent="0.25">
      <c r="M141">
        <v>658</v>
      </c>
    </row>
    <row r="142" spans="13:13" x14ac:dyDescent="0.25">
      <c r="M142">
        <v>629</v>
      </c>
    </row>
    <row r="143" spans="13:13" x14ac:dyDescent="0.25">
      <c r="M143">
        <v>634</v>
      </c>
    </row>
    <row r="144" spans="13:13" x14ac:dyDescent="0.25">
      <c r="M144">
        <v>639</v>
      </c>
    </row>
    <row r="145" spans="13:13" x14ac:dyDescent="0.25">
      <c r="M145">
        <v>644</v>
      </c>
    </row>
    <row r="146" spans="13:13" x14ac:dyDescent="0.25">
      <c r="M146">
        <v>649</v>
      </c>
    </row>
    <row r="147" spans="13:13" x14ac:dyDescent="0.25">
      <c r="M147">
        <v>654</v>
      </c>
    </row>
    <row r="148" spans="13:13" x14ac:dyDescent="0.25">
      <c r="M148">
        <v>659</v>
      </c>
    </row>
    <row r="149" spans="13:13" x14ac:dyDescent="0.25">
      <c r="M149">
        <v>630</v>
      </c>
    </row>
    <row r="150" spans="13:13" x14ac:dyDescent="0.25">
      <c r="M150">
        <v>635</v>
      </c>
    </row>
    <row r="151" spans="13:13" x14ac:dyDescent="0.25">
      <c r="M151">
        <v>640</v>
      </c>
    </row>
    <row r="152" spans="13:13" x14ac:dyDescent="0.25">
      <c r="M152">
        <v>645</v>
      </c>
    </row>
    <row r="153" spans="13:13" x14ac:dyDescent="0.25">
      <c r="M153">
        <v>650</v>
      </c>
    </row>
    <row r="154" spans="13:13" x14ac:dyDescent="0.25">
      <c r="M154">
        <v>655</v>
      </c>
    </row>
    <row r="155" spans="13:13" x14ac:dyDescent="0.25">
      <c r="M155">
        <v>660</v>
      </c>
    </row>
    <row r="156" spans="13:13" x14ac:dyDescent="0.25">
      <c r="M156">
        <v>631</v>
      </c>
    </row>
    <row r="157" spans="13:13" x14ac:dyDescent="0.25">
      <c r="M157">
        <v>636</v>
      </c>
    </row>
    <row r="158" spans="13:13" x14ac:dyDescent="0.25">
      <c r="M158">
        <v>641</v>
      </c>
    </row>
    <row r="159" spans="13:13" x14ac:dyDescent="0.25">
      <c r="M159">
        <v>646</v>
      </c>
    </row>
    <row r="160" spans="13:13" x14ac:dyDescent="0.25">
      <c r="M160">
        <v>651</v>
      </c>
    </row>
    <row r="161" spans="13:13" x14ac:dyDescent="0.25">
      <c r="M161">
        <v>656</v>
      </c>
    </row>
    <row r="162" spans="13:13" x14ac:dyDescent="0.25">
      <c r="M162">
        <v>661</v>
      </c>
    </row>
    <row r="163" spans="13:13" x14ac:dyDescent="0.25">
      <c r="M163">
        <v>632</v>
      </c>
    </row>
    <row r="164" spans="13:13" x14ac:dyDescent="0.25">
      <c r="M164">
        <v>637</v>
      </c>
    </row>
    <row r="165" spans="13:13" x14ac:dyDescent="0.25">
      <c r="M165">
        <v>642</v>
      </c>
    </row>
    <row r="166" spans="13:13" x14ac:dyDescent="0.25">
      <c r="M166">
        <v>647</v>
      </c>
    </row>
    <row r="167" spans="13:13" x14ac:dyDescent="0.25">
      <c r="M167">
        <v>652</v>
      </c>
    </row>
    <row r="168" spans="13:13" x14ac:dyDescent="0.25">
      <c r="M168">
        <v>657</v>
      </c>
    </row>
    <row r="169" spans="13:13" x14ac:dyDescent="0.25">
      <c r="M169">
        <v>662</v>
      </c>
    </row>
    <row r="170" spans="13:13" x14ac:dyDescent="0.25">
      <c r="M170">
        <v>633</v>
      </c>
    </row>
    <row r="171" spans="13:13" x14ac:dyDescent="0.25">
      <c r="M171">
        <v>638</v>
      </c>
    </row>
    <row r="172" spans="13:13" x14ac:dyDescent="0.25">
      <c r="M172">
        <v>643</v>
      </c>
    </row>
    <row r="173" spans="13:13" x14ac:dyDescent="0.25">
      <c r="M173">
        <v>648</v>
      </c>
    </row>
    <row r="174" spans="13:13" x14ac:dyDescent="0.25">
      <c r="M174">
        <v>653</v>
      </c>
    </row>
    <row r="175" spans="13:13" x14ac:dyDescent="0.25">
      <c r="M175">
        <v>658</v>
      </c>
    </row>
    <row r="176" spans="13:13" x14ac:dyDescent="0.25">
      <c r="M176">
        <v>663</v>
      </c>
    </row>
    <row r="177" spans="13:13" x14ac:dyDescent="0.25">
      <c r="M177">
        <v>634</v>
      </c>
    </row>
    <row r="178" spans="13:13" x14ac:dyDescent="0.25">
      <c r="M178">
        <v>639</v>
      </c>
    </row>
    <row r="179" spans="13:13" x14ac:dyDescent="0.25">
      <c r="M179">
        <v>644</v>
      </c>
    </row>
    <row r="180" spans="13:13" x14ac:dyDescent="0.25">
      <c r="M180">
        <v>649</v>
      </c>
    </row>
    <row r="181" spans="13:13" x14ac:dyDescent="0.25">
      <c r="M181">
        <v>654</v>
      </c>
    </row>
    <row r="182" spans="13:13" x14ac:dyDescent="0.25">
      <c r="M182">
        <v>659</v>
      </c>
    </row>
    <row r="183" spans="13:13" x14ac:dyDescent="0.25">
      <c r="M183">
        <v>664</v>
      </c>
    </row>
    <row r="184" spans="13:13" x14ac:dyDescent="0.25">
      <c r="M184">
        <v>635</v>
      </c>
    </row>
    <row r="185" spans="13:13" x14ac:dyDescent="0.25">
      <c r="M185">
        <v>640</v>
      </c>
    </row>
    <row r="186" spans="13:13" x14ac:dyDescent="0.25">
      <c r="M186">
        <v>645</v>
      </c>
    </row>
    <row r="187" spans="13:13" x14ac:dyDescent="0.25">
      <c r="M187">
        <v>650</v>
      </c>
    </row>
    <row r="188" spans="13:13" x14ac:dyDescent="0.25">
      <c r="M188">
        <v>655</v>
      </c>
    </row>
    <row r="189" spans="13:13" x14ac:dyDescent="0.25">
      <c r="M189">
        <v>660</v>
      </c>
    </row>
    <row r="190" spans="13:13" x14ac:dyDescent="0.25">
      <c r="M190">
        <v>665</v>
      </c>
    </row>
    <row r="191" spans="13:13" x14ac:dyDescent="0.25">
      <c r="M191">
        <v>636</v>
      </c>
    </row>
    <row r="192" spans="13:13" x14ac:dyDescent="0.25">
      <c r="M192">
        <v>641</v>
      </c>
    </row>
    <row r="193" spans="13:13" x14ac:dyDescent="0.25">
      <c r="M193">
        <v>646</v>
      </c>
    </row>
    <row r="194" spans="13:13" x14ac:dyDescent="0.25">
      <c r="M194">
        <v>651</v>
      </c>
    </row>
    <row r="195" spans="13:13" x14ac:dyDescent="0.25">
      <c r="M195">
        <v>656</v>
      </c>
    </row>
    <row r="196" spans="13:13" x14ac:dyDescent="0.25">
      <c r="M196">
        <v>661</v>
      </c>
    </row>
    <row r="197" spans="13:13" x14ac:dyDescent="0.25">
      <c r="M197">
        <v>666</v>
      </c>
    </row>
    <row r="198" spans="13:13" x14ac:dyDescent="0.25">
      <c r="M198">
        <v>637</v>
      </c>
    </row>
    <row r="199" spans="13:13" x14ac:dyDescent="0.25">
      <c r="M199">
        <v>642</v>
      </c>
    </row>
    <row r="200" spans="13:13" x14ac:dyDescent="0.25">
      <c r="M200">
        <v>647</v>
      </c>
    </row>
    <row r="201" spans="13:13" x14ac:dyDescent="0.25">
      <c r="M201">
        <v>652</v>
      </c>
    </row>
    <row r="202" spans="13:13" x14ac:dyDescent="0.25">
      <c r="M202">
        <v>657</v>
      </c>
    </row>
    <row r="203" spans="13:13" x14ac:dyDescent="0.25">
      <c r="M203">
        <v>662</v>
      </c>
    </row>
    <row r="204" spans="13:13" x14ac:dyDescent="0.25">
      <c r="M204">
        <v>667</v>
      </c>
    </row>
    <row r="205" spans="13:13" x14ac:dyDescent="0.25">
      <c r="M205">
        <v>638</v>
      </c>
    </row>
    <row r="206" spans="13:13" x14ac:dyDescent="0.25">
      <c r="M206">
        <v>643</v>
      </c>
    </row>
    <row r="207" spans="13:13" x14ac:dyDescent="0.25">
      <c r="M207">
        <v>648</v>
      </c>
    </row>
    <row r="208" spans="13:13" x14ac:dyDescent="0.25">
      <c r="M208">
        <v>653</v>
      </c>
    </row>
    <row r="209" spans="13:13" x14ac:dyDescent="0.25">
      <c r="M209">
        <v>658</v>
      </c>
    </row>
    <row r="210" spans="13:13" x14ac:dyDescent="0.25">
      <c r="M210">
        <v>663</v>
      </c>
    </row>
    <row r="211" spans="13:13" x14ac:dyDescent="0.25">
      <c r="M211">
        <v>668</v>
      </c>
    </row>
    <row r="212" spans="13:13" x14ac:dyDescent="0.25">
      <c r="M212">
        <v>639</v>
      </c>
    </row>
    <row r="213" spans="13:13" x14ac:dyDescent="0.25">
      <c r="M213">
        <v>644</v>
      </c>
    </row>
    <row r="214" spans="13:13" x14ac:dyDescent="0.25">
      <c r="M214">
        <v>649</v>
      </c>
    </row>
    <row r="215" spans="13:13" x14ac:dyDescent="0.25">
      <c r="M215">
        <v>654</v>
      </c>
    </row>
    <row r="216" spans="13:13" x14ac:dyDescent="0.25">
      <c r="M216">
        <v>659</v>
      </c>
    </row>
    <row r="217" spans="13:13" x14ac:dyDescent="0.25">
      <c r="M217">
        <v>664</v>
      </c>
    </row>
    <row r="218" spans="13:13" x14ac:dyDescent="0.25">
      <c r="M218">
        <v>669</v>
      </c>
    </row>
    <row r="219" spans="13:13" x14ac:dyDescent="0.25">
      <c r="M219">
        <v>640</v>
      </c>
    </row>
    <row r="220" spans="13:13" x14ac:dyDescent="0.25">
      <c r="M220">
        <v>645</v>
      </c>
    </row>
    <row r="221" spans="13:13" x14ac:dyDescent="0.25">
      <c r="M221">
        <v>650</v>
      </c>
    </row>
    <row r="222" spans="13:13" x14ac:dyDescent="0.25">
      <c r="M222">
        <v>655</v>
      </c>
    </row>
    <row r="223" spans="13:13" x14ac:dyDescent="0.25">
      <c r="M223">
        <v>660</v>
      </c>
    </row>
    <row r="224" spans="13:13" x14ac:dyDescent="0.25">
      <c r="M224">
        <v>665</v>
      </c>
    </row>
    <row r="225" spans="13:13" x14ac:dyDescent="0.25">
      <c r="M225">
        <v>670</v>
      </c>
    </row>
    <row r="226" spans="13:13" x14ac:dyDescent="0.25">
      <c r="M226">
        <v>641</v>
      </c>
    </row>
    <row r="227" spans="13:13" x14ac:dyDescent="0.25">
      <c r="M227">
        <v>646</v>
      </c>
    </row>
    <row r="228" spans="13:13" x14ac:dyDescent="0.25">
      <c r="M228">
        <v>651</v>
      </c>
    </row>
    <row r="229" spans="13:13" x14ac:dyDescent="0.25">
      <c r="M229">
        <v>656</v>
      </c>
    </row>
    <row r="230" spans="13:13" x14ac:dyDescent="0.25">
      <c r="M230">
        <v>661</v>
      </c>
    </row>
    <row r="231" spans="13:13" x14ac:dyDescent="0.25">
      <c r="M231">
        <v>666</v>
      </c>
    </row>
    <row r="232" spans="13:13" x14ac:dyDescent="0.25">
      <c r="M232">
        <v>671</v>
      </c>
    </row>
    <row r="233" spans="13:13" x14ac:dyDescent="0.25">
      <c r="M233">
        <v>642</v>
      </c>
    </row>
    <row r="234" spans="13:13" x14ac:dyDescent="0.25">
      <c r="M234">
        <v>647</v>
      </c>
    </row>
    <row r="235" spans="13:13" x14ac:dyDescent="0.25">
      <c r="M235">
        <v>652</v>
      </c>
    </row>
    <row r="236" spans="13:13" x14ac:dyDescent="0.25">
      <c r="M236">
        <v>657</v>
      </c>
    </row>
    <row r="237" spans="13:13" x14ac:dyDescent="0.25">
      <c r="M237">
        <v>662</v>
      </c>
    </row>
    <row r="238" spans="13:13" x14ac:dyDescent="0.25">
      <c r="M238">
        <v>667</v>
      </c>
    </row>
    <row r="239" spans="13:13" x14ac:dyDescent="0.25">
      <c r="M239">
        <v>672</v>
      </c>
    </row>
    <row r="240" spans="13:13" x14ac:dyDescent="0.25">
      <c r="M240">
        <v>643</v>
      </c>
    </row>
    <row r="241" spans="13:13" x14ac:dyDescent="0.25">
      <c r="M241">
        <v>648</v>
      </c>
    </row>
    <row r="242" spans="13:13" x14ac:dyDescent="0.25">
      <c r="M242">
        <v>653</v>
      </c>
    </row>
    <row r="243" spans="13:13" x14ac:dyDescent="0.25">
      <c r="M243">
        <v>658</v>
      </c>
    </row>
    <row r="244" spans="13:13" x14ac:dyDescent="0.25">
      <c r="M244">
        <v>663</v>
      </c>
    </row>
    <row r="245" spans="13:13" x14ac:dyDescent="0.25">
      <c r="M245">
        <v>668</v>
      </c>
    </row>
    <row r="246" spans="13:13" x14ac:dyDescent="0.25">
      <c r="M246">
        <v>673</v>
      </c>
    </row>
    <row r="247" spans="13:13" x14ac:dyDescent="0.25">
      <c r="M247">
        <v>644</v>
      </c>
    </row>
    <row r="248" spans="13:13" x14ac:dyDescent="0.25">
      <c r="M248">
        <v>649</v>
      </c>
    </row>
    <row r="249" spans="13:13" x14ac:dyDescent="0.25">
      <c r="M249">
        <v>654</v>
      </c>
    </row>
    <row r="250" spans="13:13" x14ac:dyDescent="0.25">
      <c r="M250">
        <v>659</v>
      </c>
    </row>
    <row r="251" spans="13:13" x14ac:dyDescent="0.25">
      <c r="M251">
        <v>664</v>
      </c>
    </row>
    <row r="252" spans="13:13" x14ac:dyDescent="0.25">
      <c r="M252">
        <v>669</v>
      </c>
    </row>
    <row r="253" spans="13:13" x14ac:dyDescent="0.25">
      <c r="M253">
        <v>674</v>
      </c>
    </row>
    <row r="254" spans="13:13" x14ac:dyDescent="0.25">
      <c r="M254">
        <v>645</v>
      </c>
    </row>
    <row r="255" spans="13:13" x14ac:dyDescent="0.25">
      <c r="M255">
        <v>650</v>
      </c>
    </row>
    <row r="256" spans="13:13" x14ac:dyDescent="0.25">
      <c r="M256">
        <v>655</v>
      </c>
    </row>
    <row r="257" spans="13:13" x14ac:dyDescent="0.25">
      <c r="M257">
        <v>660</v>
      </c>
    </row>
    <row r="258" spans="13:13" x14ac:dyDescent="0.25">
      <c r="M258">
        <v>665</v>
      </c>
    </row>
    <row r="259" spans="13:13" x14ac:dyDescent="0.25">
      <c r="M259">
        <v>670</v>
      </c>
    </row>
    <row r="260" spans="13:13" x14ac:dyDescent="0.25">
      <c r="M260">
        <v>675</v>
      </c>
    </row>
    <row r="261" spans="13:13" x14ac:dyDescent="0.25">
      <c r="M261">
        <v>646</v>
      </c>
    </row>
    <row r="262" spans="13:13" x14ac:dyDescent="0.25">
      <c r="M262">
        <v>651</v>
      </c>
    </row>
    <row r="263" spans="13:13" x14ac:dyDescent="0.25">
      <c r="M263">
        <v>656</v>
      </c>
    </row>
    <row r="264" spans="13:13" x14ac:dyDescent="0.25">
      <c r="M264">
        <v>661</v>
      </c>
    </row>
    <row r="265" spans="13:13" x14ac:dyDescent="0.25">
      <c r="M265">
        <v>666</v>
      </c>
    </row>
    <row r="266" spans="13:13" x14ac:dyDescent="0.25">
      <c r="M266">
        <v>671</v>
      </c>
    </row>
    <row r="267" spans="13:13" x14ac:dyDescent="0.25">
      <c r="M267">
        <v>676</v>
      </c>
    </row>
    <row r="268" spans="13:13" x14ac:dyDescent="0.25">
      <c r="M268">
        <v>647</v>
      </c>
    </row>
    <row r="269" spans="13:13" x14ac:dyDescent="0.25">
      <c r="M269">
        <v>652</v>
      </c>
    </row>
    <row r="270" spans="13:13" x14ac:dyDescent="0.25">
      <c r="M270">
        <v>657</v>
      </c>
    </row>
    <row r="271" spans="13:13" x14ac:dyDescent="0.25">
      <c r="M271">
        <v>662</v>
      </c>
    </row>
    <row r="272" spans="13:13" x14ac:dyDescent="0.25">
      <c r="M272">
        <v>667</v>
      </c>
    </row>
    <row r="273" spans="13:13" x14ac:dyDescent="0.25">
      <c r="M273">
        <v>672</v>
      </c>
    </row>
    <row r="274" spans="13:13" x14ac:dyDescent="0.25">
      <c r="M274">
        <v>677</v>
      </c>
    </row>
    <row r="275" spans="13:13" x14ac:dyDescent="0.25">
      <c r="M275">
        <v>648</v>
      </c>
    </row>
    <row r="276" spans="13:13" x14ac:dyDescent="0.25">
      <c r="M276">
        <v>653</v>
      </c>
    </row>
    <row r="277" spans="13:13" x14ac:dyDescent="0.25">
      <c r="M277">
        <v>658</v>
      </c>
    </row>
    <row r="278" spans="13:13" x14ac:dyDescent="0.25">
      <c r="M278">
        <v>663</v>
      </c>
    </row>
    <row r="279" spans="13:13" x14ac:dyDescent="0.25">
      <c r="M279">
        <v>668</v>
      </c>
    </row>
    <row r="280" spans="13:13" x14ac:dyDescent="0.25">
      <c r="M280">
        <v>673</v>
      </c>
    </row>
    <row r="281" spans="13:13" x14ac:dyDescent="0.25">
      <c r="M281">
        <v>678</v>
      </c>
    </row>
    <row r="282" spans="13:13" x14ac:dyDescent="0.25">
      <c r="M282">
        <v>649</v>
      </c>
    </row>
    <row r="283" spans="13:13" x14ac:dyDescent="0.25">
      <c r="M283">
        <v>654</v>
      </c>
    </row>
    <row r="284" spans="13:13" x14ac:dyDescent="0.25">
      <c r="M284">
        <v>659</v>
      </c>
    </row>
    <row r="285" spans="13:13" x14ac:dyDescent="0.25">
      <c r="M285">
        <v>664</v>
      </c>
    </row>
    <row r="286" spans="13:13" x14ac:dyDescent="0.25">
      <c r="M286">
        <v>669</v>
      </c>
    </row>
    <row r="287" spans="13:13" x14ac:dyDescent="0.25">
      <c r="M287">
        <v>674</v>
      </c>
    </row>
    <row r="288" spans="13:13" x14ac:dyDescent="0.25">
      <c r="M288">
        <v>679</v>
      </c>
    </row>
    <row r="289" spans="13:13" x14ac:dyDescent="0.25">
      <c r="M289">
        <v>650</v>
      </c>
    </row>
    <row r="290" spans="13:13" x14ac:dyDescent="0.25">
      <c r="M290">
        <v>655</v>
      </c>
    </row>
    <row r="291" spans="13:13" x14ac:dyDescent="0.25">
      <c r="M291">
        <v>660</v>
      </c>
    </row>
    <row r="292" spans="13:13" x14ac:dyDescent="0.25">
      <c r="M292">
        <v>665</v>
      </c>
    </row>
    <row r="293" spans="13:13" x14ac:dyDescent="0.25">
      <c r="M293">
        <v>670</v>
      </c>
    </row>
    <row r="294" spans="13:13" x14ac:dyDescent="0.25">
      <c r="M294">
        <v>675</v>
      </c>
    </row>
    <row r="295" spans="13:13" x14ac:dyDescent="0.25">
      <c r="M295">
        <v>680</v>
      </c>
    </row>
    <row r="296" spans="13:13" x14ac:dyDescent="0.25">
      <c r="M296">
        <v>651</v>
      </c>
    </row>
    <row r="297" spans="13:13" x14ac:dyDescent="0.25">
      <c r="M297">
        <v>656</v>
      </c>
    </row>
    <row r="298" spans="13:13" x14ac:dyDescent="0.25">
      <c r="M298">
        <v>661</v>
      </c>
    </row>
    <row r="299" spans="13:13" x14ac:dyDescent="0.25">
      <c r="M299">
        <v>666</v>
      </c>
    </row>
    <row r="300" spans="13:13" x14ac:dyDescent="0.25">
      <c r="M300">
        <v>671</v>
      </c>
    </row>
    <row r="301" spans="13:13" x14ac:dyDescent="0.25">
      <c r="M301">
        <v>676</v>
      </c>
    </row>
    <row r="302" spans="13:13" x14ac:dyDescent="0.25">
      <c r="M302">
        <v>681</v>
      </c>
    </row>
    <row r="303" spans="13:13" x14ac:dyDescent="0.25">
      <c r="M303">
        <v>652</v>
      </c>
    </row>
    <row r="304" spans="13:13" x14ac:dyDescent="0.25">
      <c r="M304">
        <v>657</v>
      </c>
    </row>
    <row r="305" spans="13:13" x14ac:dyDescent="0.25">
      <c r="M305">
        <v>662</v>
      </c>
    </row>
    <row r="306" spans="13:13" x14ac:dyDescent="0.25">
      <c r="M306">
        <v>667</v>
      </c>
    </row>
    <row r="307" spans="13:13" x14ac:dyDescent="0.25">
      <c r="M307">
        <v>672</v>
      </c>
    </row>
    <row r="308" spans="13:13" x14ac:dyDescent="0.25">
      <c r="M308">
        <v>677</v>
      </c>
    </row>
    <row r="309" spans="13:13" x14ac:dyDescent="0.25">
      <c r="M309">
        <v>682</v>
      </c>
    </row>
    <row r="310" spans="13:13" x14ac:dyDescent="0.25">
      <c r="M310">
        <v>653</v>
      </c>
    </row>
    <row r="311" spans="13:13" x14ac:dyDescent="0.25">
      <c r="M311">
        <v>658</v>
      </c>
    </row>
    <row r="312" spans="13:13" x14ac:dyDescent="0.25">
      <c r="M312">
        <v>663</v>
      </c>
    </row>
    <row r="313" spans="13:13" x14ac:dyDescent="0.25">
      <c r="M313">
        <v>668</v>
      </c>
    </row>
    <row r="314" spans="13:13" x14ac:dyDescent="0.25">
      <c r="M314">
        <v>673</v>
      </c>
    </row>
    <row r="315" spans="13:13" x14ac:dyDescent="0.25">
      <c r="M315">
        <v>678</v>
      </c>
    </row>
    <row r="316" spans="13:13" x14ac:dyDescent="0.25">
      <c r="M316">
        <v>683</v>
      </c>
    </row>
    <row r="317" spans="13:13" x14ac:dyDescent="0.25">
      <c r="M317">
        <v>654</v>
      </c>
    </row>
    <row r="318" spans="13:13" x14ac:dyDescent="0.25">
      <c r="M318">
        <v>659</v>
      </c>
    </row>
    <row r="319" spans="13:13" x14ac:dyDescent="0.25">
      <c r="M319">
        <v>664</v>
      </c>
    </row>
    <row r="320" spans="13:13" x14ac:dyDescent="0.25">
      <c r="M320">
        <v>669</v>
      </c>
    </row>
    <row r="321" spans="13:13" x14ac:dyDescent="0.25">
      <c r="M321">
        <v>674</v>
      </c>
    </row>
    <row r="322" spans="13:13" x14ac:dyDescent="0.25">
      <c r="M322">
        <v>679</v>
      </c>
    </row>
    <row r="323" spans="13:13" x14ac:dyDescent="0.25">
      <c r="M323">
        <v>684</v>
      </c>
    </row>
    <row r="324" spans="13:13" x14ac:dyDescent="0.25">
      <c r="M324">
        <v>655</v>
      </c>
    </row>
    <row r="325" spans="13:13" x14ac:dyDescent="0.25">
      <c r="M325">
        <v>660</v>
      </c>
    </row>
    <row r="326" spans="13:13" x14ac:dyDescent="0.25">
      <c r="M326">
        <v>665</v>
      </c>
    </row>
    <row r="327" spans="13:13" x14ac:dyDescent="0.25">
      <c r="M327">
        <v>670</v>
      </c>
    </row>
    <row r="328" spans="13:13" x14ac:dyDescent="0.25">
      <c r="M328">
        <v>675</v>
      </c>
    </row>
    <row r="329" spans="13:13" x14ac:dyDescent="0.25">
      <c r="M329">
        <v>680</v>
      </c>
    </row>
    <row r="330" spans="13:13" x14ac:dyDescent="0.25">
      <c r="M330">
        <v>685</v>
      </c>
    </row>
    <row r="331" spans="13:13" x14ac:dyDescent="0.25">
      <c r="M331">
        <v>656</v>
      </c>
    </row>
    <row r="332" spans="13:13" x14ac:dyDescent="0.25">
      <c r="M332">
        <v>661</v>
      </c>
    </row>
    <row r="333" spans="13:13" x14ac:dyDescent="0.25">
      <c r="M333">
        <v>666</v>
      </c>
    </row>
    <row r="334" spans="13:13" x14ac:dyDescent="0.25">
      <c r="M334">
        <v>671</v>
      </c>
    </row>
    <row r="335" spans="13:13" x14ac:dyDescent="0.25">
      <c r="M335">
        <v>676</v>
      </c>
    </row>
    <row r="336" spans="13:13" x14ac:dyDescent="0.25">
      <c r="M336">
        <v>681</v>
      </c>
    </row>
    <row r="337" spans="13:13" x14ac:dyDescent="0.25">
      <c r="M337">
        <v>686</v>
      </c>
    </row>
    <row r="338" spans="13:13" x14ac:dyDescent="0.25">
      <c r="M338">
        <v>657</v>
      </c>
    </row>
    <row r="339" spans="13:13" x14ac:dyDescent="0.25">
      <c r="M339">
        <v>662</v>
      </c>
    </row>
    <row r="340" spans="13:13" x14ac:dyDescent="0.25">
      <c r="M340">
        <v>667</v>
      </c>
    </row>
    <row r="341" spans="13:13" x14ac:dyDescent="0.25">
      <c r="M341">
        <v>672</v>
      </c>
    </row>
    <row r="342" spans="13:13" x14ac:dyDescent="0.25">
      <c r="M342">
        <v>677</v>
      </c>
    </row>
    <row r="343" spans="13:13" x14ac:dyDescent="0.25">
      <c r="M343">
        <v>682</v>
      </c>
    </row>
    <row r="344" spans="13:13" x14ac:dyDescent="0.25">
      <c r="M344">
        <v>687</v>
      </c>
    </row>
    <row r="345" spans="13:13" x14ac:dyDescent="0.25">
      <c r="M345">
        <v>658</v>
      </c>
    </row>
    <row r="346" spans="13:13" x14ac:dyDescent="0.25">
      <c r="M346">
        <v>663</v>
      </c>
    </row>
    <row r="347" spans="13:13" x14ac:dyDescent="0.25">
      <c r="M347">
        <v>668</v>
      </c>
    </row>
    <row r="348" spans="13:13" x14ac:dyDescent="0.25">
      <c r="M348">
        <v>673</v>
      </c>
    </row>
    <row r="349" spans="13:13" x14ac:dyDescent="0.25">
      <c r="M349">
        <v>678</v>
      </c>
    </row>
    <row r="350" spans="13:13" x14ac:dyDescent="0.25">
      <c r="M350">
        <v>683</v>
      </c>
    </row>
    <row r="351" spans="13:13" x14ac:dyDescent="0.25">
      <c r="M351">
        <v>688</v>
      </c>
    </row>
    <row r="352" spans="13:13" x14ac:dyDescent="0.25">
      <c r="M352">
        <v>659</v>
      </c>
    </row>
    <row r="353" spans="13:13" x14ac:dyDescent="0.25">
      <c r="M353">
        <v>664</v>
      </c>
    </row>
    <row r="354" spans="13:13" x14ac:dyDescent="0.25">
      <c r="M354">
        <v>669</v>
      </c>
    </row>
    <row r="355" spans="13:13" x14ac:dyDescent="0.25">
      <c r="M355">
        <v>674</v>
      </c>
    </row>
    <row r="356" spans="13:13" x14ac:dyDescent="0.25">
      <c r="M356">
        <v>679</v>
      </c>
    </row>
    <row r="357" spans="13:13" x14ac:dyDescent="0.25">
      <c r="M357">
        <v>684</v>
      </c>
    </row>
    <row r="358" spans="13:13" x14ac:dyDescent="0.25">
      <c r="M358">
        <v>689</v>
      </c>
    </row>
    <row r="359" spans="13:13" x14ac:dyDescent="0.25">
      <c r="M359">
        <v>660</v>
      </c>
    </row>
    <row r="360" spans="13:13" x14ac:dyDescent="0.25">
      <c r="M360">
        <v>665</v>
      </c>
    </row>
    <row r="361" spans="13:13" x14ac:dyDescent="0.25">
      <c r="M361">
        <v>670</v>
      </c>
    </row>
    <row r="362" spans="13:13" x14ac:dyDescent="0.25">
      <c r="M362">
        <v>675</v>
      </c>
    </row>
    <row r="363" spans="13:13" x14ac:dyDescent="0.25">
      <c r="M363">
        <v>680</v>
      </c>
    </row>
    <row r="364" spans="13:13" x14ac:dyDescent="0.25">
      <c r="M364">
        <v>685</v>
      </c>
    </row>
    <row r="365" spans="13:13" x14ac:dyDescent="0.25">
      <c r="M365">
        <v>690</v>
      </c>
    </row>
    <row r="366" spans="13:13" x14ac:dyDescent="0.25">
      <c r="M366">
        <v>661</v>
      </c>
    </row>
    <row r="367" spans="13:13" x14ac:dyDescent="0.25">
      <c r="M367">
        <v>666</v>
      </c>
    </row>
    <row r="368" spans="13:13" x14ac:dyDescent="0.25">
      <c r="M368">
        <v>671</v>
      </c>
    </row>
    <row r="369" spans="13:13" x14ac:dyDescent="0.25">
      <c r="M369">
        <v>676</v>
      </c>
    </row>
    <row r="370" spans="13:13" x14ac:dyDescent="0.25">
      <c r="M370">
        <v>681</v>
      </c>
    </row>
    <row r="371" spans="13:13" x14ac:dyDescent="0.25">
      <c r="M371">
        <v>686</v>
      </c>
    </row>
    <row r="372" spans="13:13" x14ac:dyDescent="0.25">
      <c r="M372">
        <v>691</v>
      </c>
    </row>
    <row r="373" spans="13:13" x14ac:dyDescent="0.25">
      <c r="M373">
        <v>662</v>
      </c>
    </row>
    <row r="374" spans="13:13" x14ac:dyDescent="0.25">
      <c r="M374">
        <v>667</v>
      </c>
    </row>
    <row r="375" spans="13:13" x14ac:dyDescent="0.25">
      <c r="M375">
        <v>672</v>
      </c>
    </row>
    <row r="376" spans="13:13" x14ac:dyDescent="0.25">
      <c r="M376">
        <v>677</v>
      </c>
    </row>
    <row r="377" spans="13:13" x14ac:dyDescent="0.25">
      <c r="M377">
        <v>682</v>
      </c>
    </row>
    <row r="378" spans="13:13" x14ac:dyDescent="0.25">
      <c r="M378">
        <v>687</v>
      </c>
    </row>
    <row r="379" spans="13:13" x14ac:dyDescent="0.25">
      <c r="M379">
        <v>692</v>
      </c>
    </row>
    <row r="380" spans="13:13" x14ac:dyDescent="0.25">
      <c r="M380">
        <v>663</v>
      </c>
    </row>
    <row r="381" spans="13:13" x14ac:dyDescent="0.25">
      <c r="M381">
        <v>668</v>
      </c>
    </row>
    <row r="382" spans="13:13" x14ac:dyDescent="0.25">
      <c r="M382">
        <v>673</v>
      </c>
    </row>
    <row r="383" spans="13:13" x14ac:dyDescent="0.25">
      <c r="M383">
        <v>678</v>
      </c>
    </row>
    <row r="384" spans="13:13" x14ac:dyDescent="0.25">
      <c r="M384">
        <v>683</v>
      </c>
    </row>
    <row r="385" spans="13:13" x14ac:dyDescent="0.25">
      <c r="M385">
        <v>688</v>
      </c>
    </row>
    <row r="386" spans="13:13" x14ac:dyDescent="0.25">
      <c r="M386">
        <v>693</v>
      </c>
    </row>
    <row r="387" spans="13:13" x14ac:dyDescent="0.25">
      <c r="M387">
        <v>664</v>
      </c>
    </row>
    <row r="388" spans="13:13" x14ac:dyDescent="0.25">
      <c r="M388">
        <v>669</v>
      </c>
    </row>
    <row r="389" spans="13:13" x14ac:dyDescent="0.25">
      <c r="M389">
        <v>674</v>
      </c>
    </row>
    <row r="390" spans="13:13" x14ac:dyDescent="0.25">
      <c r="M390">
        <v>679</v>
      </c>
    </row>
    <row r="391" spans="13:13" x14ac:dyDescent="0.25">
      <c r="M391">
        <v>684</v>
      </c>
    </row>
    <row r="392" spans="13:13" x14ac:dyDescent="0.25">
      <c r="M392">
        <v>689</v>
      </c>
    </row>
    <row r="393" spans="13:13" x14ac:dyDescent="0.25">
      <c r="M393">
        <v>694</v>
      </c>
    </row>
    <row r="394" spans="13:13" x14ac:dyDescent="0.25">
      <c r="M394">
        <v>665</v>
      </c>
    </row>
    <row r="395" spans="13:13" x14ac:dyDescent="0.25">
      <c r="M395">
        <v>670</v>
      </c>
    </row>
    <row r="396" spans="13:13" x14ac:dyDescent="0.25">
      <c r="M396">
        <v>675</v>
      </c>
    </row>
    <row r="397" spans="13:13" x14ac:dyDescent="0.25">
      <c r="M397">
        <v>680</v>
      </c>
    </row>
    <row r="398" spans="13:13" x14ac:dyDescent="0.25">
      <c r="M398">
        <v>685</v>
      </c>
    </row>
    <row r="399" spans="13:13" x14ac:dyDescent="0.25">
      <c r="M399">
        <v>690</v>
      </c>
    </row>
    <row r="400" spans="13:13" x14ac:dyDescent="0.25">
      <c r="M400">
        <v>695</v>
      </c>
    </row>
    <row r="401" spans="13:13" x14ac:dyDescent="0.25">
      <c r="M401">
        <v>666</v>
      </c>
    </row>
    <row r="402" spans="13:13" x14ac:dyDescent="0.25">
      <c r="M402">
        <v>671</v>
      </c>
    </row>
    <row r="403" spans="13:13" x14ac:dyDescent="0.25">
      <c r="M403">
        <v>676</v>
      </c>
    </row>
    <row r="404" spans="13:13" x14ac:dyDescent="0.25">
      <c r="M404">
        <v>681</v>
      </c>
    </row>
    <row r="405" spans="13:13" x14ac:dyDescent="0.25">
      <c r="M405">
        <v>686</v>
      </c>
    </row>
    <row r="406" spans="13:13" x14ac:dyDescent="0.25">
      <c r="M406">
        <v>691</v>
      </c>
    </row>
    <row r="407" spans="13:13" x14ac:dyDescent="0.25">
      <c r="M407">
        <v>696</v>
      </c>
    </row>
    <row r="408" spans="13:13" x14ac:dyDescent="0.25">
      <c r="M408">
        <v>667</v>
      </c>
    </row>
    <row r="409" spans="13:13" x14ac:dyDescent="0.25">
      <c r="M409">
        <v>672</v>
      </c>
    </row>
    <row r="410" spans="13:13" x14ac:dyDescent="0.25">
      <c r="M410">
        <v>677</v>
      </c>
    </row>
    <row r="411" spans="13:13" x14ac:dyDescent="0.25">
      <c r="M411">
        <v>682</v>
      </c>
    </row>
    <row r="412" spans="13:13" x14ac:dyDescent="0.25">
      <c r="M412">
        <v>687</v>
      </c>
    </row>
    <row r="413" spans="13:13" x14ac:dyDescent="0.25">
      <c r="M413">
        <v>692</v>
      </c>
    </row>
    <row r="414" spans="13:13" x14ac:dyDescent="0.25">
      <c r="M414">
        <v>697</v>
      </c>
    </row>
    <row r="415" spans="13:13" x14ac:dyDescent="0.25">
      <c r="M415">
        <v>668</v>
      </c>
    </row>
    <row r="416" spans="13:13" x14ac:dyDescent="0.25">
      <c r="M416">
        <v>673</v>
      </c>
    </row>
    <row r="417" spans="13:13" x14ac:dyDescent="0.25">
      <c r="M417">
        <v>678</v>
      </c>
    </row>
    <row r="418" spans="13:13" x14ac:dyDescent="0.25">
      <c r="M418">
        <v>683</v>
      </c>
    </row>
    <row r="419" spans="13:13" x14ac:dyDescent="0.25">
      <c r="M419">
        <v>688</v>
      </c>
    </row>
    <row r="420" spans="13:13" x14ac:dyDescent="0.25">
      <c r="M420">
        <v>693</v>
      </c>
    </row>
    <row r="421" spans="13:13" x14ac:dyDescent="0.25">
      <c r="M421">
        <v>698</v>
      </c>
    </row>
    <row r="422" spans="13:13" x14ac:dyDescent="0.25">
      <c r="M422">
        <v>669</v>
      </c>
    </row>
    <row r="423" spans="13:13" x14ac:dyDescent="0.25">
      <c r="M423">
        <v>674</v>
      </c>
    </row>
    <row r="424" spans="13:13" x14ac:dyDescent="0.25">
      <c r="M424">
        <v>679</v>
      </c>
    </row>
    <row r="425" spans="13:13" x14ac:dyDescent="0.25">
      <c r="M425">
        <v>684</v>
      </c>
    </row>
    <row r="426" spans="13:13" x14ac:dyDescent="0.25">
      <c r="M426">
        <v>689</v>
      </c>
    </row>
    <row r="427" spans="13:13" x14ac:dyDescent="0.25">
      <c r="M427">
        <v>694</v>
      </c>
    </row>
    <row r="428" spans="13:13" x14ac:dyDescent="0.25">
      <c r="M428">
        <v>699</v>
      </c>
    </row>
    <row r="429" spans="13:13" x14ac:dyDescent="0.25">
      <c r="M429">
        <v>670</v>
      </c>
    </row>
    <row r="430" spans="13:13" x14ac:dyDescent="0.25">
      <c r="M430">
        <v>675</v>
      </c>
    </row>
    <row r="431" spans="13:13" x14ac:dyDescent="0.25">
      <c r="M431">
        <v>680</v>
      </c>
    </row>
    <row r="432" spans="13:13" x14ac:dyDescent="0.25">
      <c r="M432">
        <v>685</v>
      </c>
    </row>
    <row r="433" spans="13:13" x14ac:dyDescent="0.25">
      <c r="M433">
        <v>690</v>
      </c>
    </row>
    <row r="434" spans="13:13" x14ac:dyDescent="0.25">
      <c r="M434">
        <v>695</v>
      </c>
    </row>
    <row r="435" spans="13:13" x14ac:dyDescent="0.25">
      <c r="M435">
        <v>700</v>
      </c>
    </row>
    <row r="436" spans="13:13" x14ac:dyDescent="0.25">
      <c r="M436">
        <v>671</v>
      </c>
    </row>
    <row r="437" spans="13:13" x14ac:dyDescent="0.25">
      <c r="M437">
        <v>676</v>
      </c>
    </row>
    <row r="438" spans="13:13" x14ac:dyDescent="0.25">
      <c r="M438">
        <v>681</v>
      </c>
    </row>
    <row r="439" spans="13:13" x14ac:dyDescent="0.25">
      <c r="M439">
        <v>686</v>
      </c>
    </row>
    <row r="440" spans="13:13" x14ac:dyDescent="0.25">
      <c r="M440">
        <v>691</v>
      </c>
    </row>
    <row r="441" spans="13:13" x14ac:dyDescent="0.25">
      <c r="M441">
        <v>696</v>
      </c>
    </row>
    <row r="442" spans="13:13" x14ac:dyDescent="0.25">
      <c r="M442">
        <v>701</v>
      </c>
    </row>
    <row r="443" spans="13:13" x14ac:dyDescent="0.25">
      <c r="M443">
        <v>672</v>
      </c>
    </row>
    <row r="444" spans="13:13" x14ac:dyDescent="0.25">
      <c r="M444">
        <v>677</v>
      </c>
    </row>
    <row r="445" spans="13:13" x14ac:dyDescent="0.25">
      <c r="M445">
        <v>682</v>
      </c>
    </row>
    <row r="446" spans="13:13" x14ac:dyDescent="0.25">
      <c r="M446">
        <v>687</v>
      </c>
    </row>
    <row r="447" spans="13:13" x14ac:dyDescent="0.25">
      <c r="M447">
        <v>692</v>
      </c>
    </row>
    <row r="448" spans="13:13" x14ac:dyDescent="0.25">
      <c r="M448">
        <v>697</v>
      </c>
    </row>
    <row r="449" spans="13:13" x14ac:dyDescent="0.25">
      <c r="M449">
        <v>702</v>
      </c>
    </row>
    <row r="450" spans="13:13" x14ac:dyDescent="0.25">
      <c r="M450">
        <v>673</v>
      </c>
    </row>
    <row r="451" spans="13:13" x14ac:dyDescent="0.25">
      <c r="M451">
        <v>678</v>
      </c>
    </row>
    <row r="452" spans="13:13" x14ac:dyDescent="0.25">
      <c r="M452">
        <v>683</v>
      </c>
    </row>
    <row r="453" spans="13:13" x14ac:dyDescent="0.25">
      <c r="M453">
        <v>688</v>
      </c>
    </row>
    <row r="454" spans="13:13" x14ac:dyDescent="0.25">
      <c r="M454">
        <v>693</v>
      </c>
    </row>
    <row r="455" spans="13:13" x14ac:dyDescent="0.25">
      <c r="M455">
        <v>698</v>
      </c>
    </row>
    <row r="456" spans="13:13" x14ac:dyDescent="0.25">
      <c r="M456">
        <v>703</v>
      </c>
    </row>
    <row r="457" spans="13:13" x14ac:dyDescent="0.25">
      <c r="M457">
        <v>674</v>
      </c>
    </row>
    <row r="458" spans="13:13" x14ac:dyDescent="0.25">
      <c r="M458">
        <v>679</v>
      </c>
    </row>
    <row r="459" spans="13:13" x14ac:dyDescent="0.25">
      <c r="M459">
        <v>684</v>
      </c>
    </row>
    <row r="460" spans="13:13" x14ac:dyDescent="0.25">
      <c r="M460">
        <v>689</v>
      </c>
    </row>
    <row r="461" spans="13:13" x14ac:dyDescent="0.25">
      <c r="M461">
        <v>694</v>
      </c>
    </row>
    <row r="462" spans="13:13" x14ac:dyDescent="0.25">
      <c r="M462">
        <v>699</v>
      </c>
    </row>
    <row r="463" spans="13:13" x14ac:dyDescent="0.25">
      <c r="M463">
        <v>704</v>
      </c>
    </row>
    <row r="464" spans="13:13" x14ac:dyDescent="0.25">
      <c r="M464">
        <v>675</v>
      </c>
    </row>
    <row r="465" spans="13:13" x14ac:dyDescent="0.25">
      <c r="M465">
        <v>680</v>
      </c>
    </row>
    <row r="466" spans="13:13" x14ac:dyDescent="0.25">
      <c r="M466">
        <v>685</v>
      </c>
    </row>
    <row r="467" spans="13:13" x14ac:dyDescent="0.25">
      <c r="M467">
        <v>690</v>
      </c>
    </row>
    <row r="468" spans="13:13" x14ac:dyDescent="0.25">
      <c r="M468">
        <v>695</v>
      </c>
    </row>
    <row r="469" spans="13:13" x14ac:dyDescent="0.25">
      <c r="M469">
        <v>700</v>
      </c>
    </row>
    <row r="470" spans="13:13" x14ac:dyDescent="0.25">
      <c r="M470">
        <v>705</v>
      </c>
    </row>
    <row r="471" spans="13:13" x14ac:dyDescent="0.25">
      <c r="M471">
        <v>676</v>
      </c>
    </row>
    <row r="472" spans="13:13" x14ac:dyDescent="0.25">
      <c r="M472">
        <v>681</v>
      </c>
    </row>
    <row r="473" spans="13:13" x14ac:dyDescent="0.25">
      <c r="M473">
        <v>686</v>
      </c>
    </row>
    <row r="474" spans="13:13" x14ac:dyDescent="0.25">
      <c r="M474">
        <v>691</v>
      </c>
    </row>
    <row r="475" spans="13:13" x14ac:dyDescent="0.25">
      <c r="M475">
        <v>696</v>
      </c>
    </row>
    <row r="476" spans="13:13" x14ac:dyDescent="0.25">
      <c r="M476">
        <v>701</v>
      </c>
    </row>
    <row r="477" spans="13:13" x14ac:dyDescent="0.25">
      <c r="M477">
        <v>706</v>
      </c>
    </row>
    <row r="478" spans="13:13" x14ac:dyDescent="0.25">
      <c r="M478">
        <v>677</v>
      </c>
    </row>
    <row r="479" spans="13:13" x14ac:dyDescent="0.25">
      <c r="M479">
        <v>682</v>
      </c>
    </row>
    <row r="480" spans="13:13" x14ac:dyDescent="0.25">
      <c r="M480">
        <v>687</v>
      </c>
    </row>
    <row r="481" spans="13:13" x14ac:dyDescent="0.25">
      <c r="M481">
        <v>692</v>
      </c>
    </row>
    <row r="482" spans="13:13" x14ac:dyDescent="0.25">
      <c r="M482">
        <v>697</v>
      </c>
    </row>
    <row r="483" spans="13:13" x14ac:dyDescent="0.25">
      <c r="M483">
        <v>702</v>
      </c>
    </row>
    <row r="484" spans="13:13" x14ac:dyDescent="0.25">
      <c r="M484">
        <v>707</v>
      </c>
    </row>
    <row r="485" spans="13:13" x14ac:dyDescent="0.25">
      <c r="M485">
        <v>678</v>
      </c>
    </row>
    <row r="486" spans="13:13" x14ac:dyDescent="0.25">
      <c r="M486">
        <v>683</v>
      </c>
    </row>
    <row r="487" spans="13:13" x14ac:dyDescent="0.25">
      <c r="M487">
        <v>688</v>
      </c>
    </row>
    <row r="488" spans="13:13" x14ac:dyDescent="0.25">
      <c r="M488">
        <v>693</v>
      </c>
    </row>
    <row r="489" spans="13:13" x14ac:dyDescent="0.25">
      <c r="M489">
        <v>698</v>
      </c>
    </row>
    <row r="490" spans="13:13" x14ac:dyDescent="0.25">
      <c r="M490">
        <v>703</v>
      </c>
    </row>
    <row r="491" spans="13:13" x14ac:dyDescent="0.25">
      <c r="M491">
        <v>708</v>
      </c>
    </row>
    <row r="492" spans="13:13" x14ac:dyDescent="0.25">
      <c r="M492">
        <v>679</v>
      </c>
    </row>
    <row r="493" spans="13:13" x14ac:dyDescent="0.25">
      <c r="M493">
        <v>684</v>
      </c>
    </row>
    <row r="494" spans="13:13" x14ac:dyDescent="0.25">
      <c r="M494">
        <v>689</v>
      </c>
    </row>
    <row r="495" spans="13:13" x14ac:dyDescent="0.25">
      <c r="M495">
        <v>694</v>
      </c>
    </row>
    <row r="496" spans="13:13" x14ac:dyDescent="0.25">
      <c r="M496">
        <v>699</v>
      </c>
    </row>
    <row r="497" spans="13:13" x14ac:dyDescent="0.25">
      <c r="M497">
        <v>704</v>
      </c>
    </row>
    <row r="498" spans="13:13" x14ac:dyDescent="0.25">
      <c r="M498">
        <v>709</v>
      </c>
    </row>
    <row r="499" spans="13:13" x14ac:dyDescent="0.25">
      <c r="M499">
        <v>680</v>
      </c>
    </row>
    <row r="500" spans="13:13" x14ac:dyDescent="0.25">
      <c r="M500">
        <v>685</v>
      </c>
    </row>
    <row r="501" spans="13:13" x14ac:dyDescent="0.25">
      <c r="M501">
        <v>690</v>
      </c>
    </row>
    <row r="502" spans="13:13" x14ac:dyDescent="0.25">
      <c r="M502">
        <v>695</v>
      </c>
    </row>
    <row r="503" spans="13:13" x14ac:dyDescent="0.25">
      <c r="M503">
        <v>700</v>
      </c>
    </row>
    <row r="504" spans="13:13" x14ac:dyDescent="0.25">
      <c r="M504">
        <v>705</v>
      </c>
    </row>
    <row r="505" spans="13:13" x14ac:dyDescent="0.25">
      <c r="M505">
        <v>710</v>
      </c>
    </row>
    <row r="506" spans="13:13" x14ac:dyDescent="0.25">
      <c r="M506">
        <v>681</v>
      </c>
    </row>
    <row r="507" spans="13:13" x14ac:dyDescent="0.25">
      <c r="M507">
        <v>686</v>
      </c>
    </row>
    <row r="508" spans="13:13" x14ac:dyDescent="0.25">
      <c r="M508">
        <v>691</v>
      </c>
    </row>
    <row r="509" spans="13:13" x14ac:dyDescent="0.25">
      <c r="M509">
        <v>696</v>
      </c>
    </row>
    <row r="510" spans="13:13" x14ac:dyDescent="0.25">
      <c r="M510">
        <v>701</v>
      </c>
    </row>
    <row r="511" spans="13:13" x14ac:dyDescent="0.25">
      <c r="M511">
        <v>706</v>
      </c>
    </row>
    <row r="512" spans="13:13" x14ac:dyDescent="0.25">
      <c r="M512">
        <v>711</v>
      </c>
    </row>
    <row r="513" spans="13:13" x14ac:dyDescent="0.25">
      <c r="M513">
        <v>682</v>
      </c>
    </row>
    <row r="514" spans="13:13" x14ac:dyDescent="0.25">
      <c r="M514">
        <v>687</v>
      </c>
    </row>
    <row r="515" spans="13:13" x14ac:dyDescent="0.25">
      <c r="M515">
        <v>692</v>
      </c>
    </row>
    <row r="516" spans="13:13" x14ac:dyDescent="0.25">
      <c r="M516">
        <v>697</v>
      </c>
    </row>
    <row r="517" spans="13:13" x14ac:dyDescent="0.25">
      <c r="M517">
        <v>702</v>
      </c>
    </row>
    <row r="518" spans="13:13" x14ac:dyDescent="0.25">
      <c r="M518">
        <v>707</v>
      </c>
    </row>
    <row r="519" spans="13:13" x14ac:dyDescent="0.25">
      <c r="M519">
        <v>712</v>
      </c>
    </row>
    <row r="520" spans="13:13" x14ac:dyDescent="0.25">
      <c r="M520">
        <v>683</v>
      </c>
    </row>
    <row r="521" spans="13:13" x14ac:dyDescent="0.25">
      <c r="M521">
        <v>688</v>
      </c>
    </row>
    <row r="522" spans="13:13" x14ac:dyDescent="0.25">
      <c r="M522">
        <v>693</v>
      </c>
    </row>
    <row r="523" spans="13:13" x14ac:dyDescent="0.25">
      <c r="M523">
        <v>698</v>
      </c>
    </row>
    <row r="524" spans="13:13" x14ac:dyDescent="0.25">
      <c r="M524">
        <v>703</v>
      </c>
    </row>
    <row r="525" spans="13:13" x14ac:dyDescent="0.25">
      <c r="M525">
        <v>708</v>
      </c>
    </row>
    <row r="526" spans="13:13" x14ac:dyDescent="0.25">
      <c r="M526">
        <v>713</v>
      </c>
    </row>
    <row r="527" spans="13:13" x14ac:dyDescent="0.25">
      <c r="M527">
        <v>684</v>
      </c>
    </row>
    <row r="528" spans="13:13" x14ac:dyDescent="0.25">
      <c r="M528">
        <v>689</v>
      </c>
    </row>
    <row r="529" spans="13:13" x14ac:dyDescent="0.25">
      <c r="M529">
        <v>694</v>
      </c>
    </row>
    <row r="530" spans="13:13" x14ac:dyDescent="0.25">
      <c r="M530">
        <v>699</v>
      </c>
    </row>
    <row r="531" spans="13:13" x14ac:dyDescent="0.25">
      <c r="M531">
        <v>704</v>
      </c>
    </row>
    <row r="532" spans="13:13" x14ac:dyDescent="0.25">
      <c r="M532">
        <v>709</v>
      </c>
    </row>
    <row r="533" spans="13:13" x14ac:dyDescent="0.25">
      <c r="M533">
        <v>714</v>
      </c>
    </row>
    <row r="534" spans="13:13" x14ac:dyDescent="0.25">
      <c r="M534">
        <v>685</v>
      </c>
    </row>
    <row r="535" spans="13:13" x14ac:dyDescent="0.25">
      <c r="M535">
        <v>690</v>
      </c>
    </row>
    <row r="536" spans="13:13" x14ac:dyDescent="0.25">
      <c r="M536">
        <v>695</v>
      </c>
    </row>
    <row r="537" spans="13:13" x14ac:dyDescent="0.25">
      <c r="M537">
        <v>700</v>
      </c>
    </row>
    <row r="538" spans="13:13" x14ac:dyDescent="0.25">
      <c r="M538">
        <v>705</v>
      </c>
    </row>
    <row r="539" spans="13:13" x14ac:dyDescent="0.25">
      <c r="M539">
        <v>710</v>
      </c>
    </row>
    <row r="540" spans="13:13" x14ac:dyDescent="0.25">
      <c r="M540">
        <v>715</v>
      </c>
    </row>
    <row r="541" spans="13:13" x14ac:dyDescent="0.25">
      <c r="M541">
        <v>686</v>
      </c>
    </row>
    <row r="542" spans="13:13" x14ac:dyDescent="0.25">
      <c r="M542">
        <v>691</v>
      </c>
    </row>
    <row r="543" spans="13:13" x14ac:dyDescent="0.25">
      <c r="M543">
        <v>696</v>
      </c>
    </row>
    <row r="544" spans="13:13" x14ac:dyDescent="0.25">
      <c r="M544">
        <v>701</v>
      </c>
    </row>
    <row r="545" spans="13:13" x14ac:dyDescent="0.25">
      <c r="M545">
        <v>706</v>
      </c>
    </row>
    <row r="546" spans="13:13" x14ac:dyDescent="0.25">
      <c r="M546">
        <v>711</v>
      </c>
    </row>
    <row r="547" spans="13:13" x14ac:dyDescent="0.25">
      <c r="M547">
        <v>716</v>
      </c>
    </row>
    <row r="548" spans="13:13" x14ac:dyDescent="0.25">
      <c r="M548">
        <v>687</v>
      </c>
    </row>
    <row r="549" spans="13:13" x14ac:dyDescent="0.25">
      <c r="M549">
        <v>692</v>
      </c>
    </row>
    <row r="550" spans="13:13" x14ac:dyDescent="0.25">
      <c r="M550">
        <v>697</v>
      </c>
    </row>
    <row r="551" spans="13:13" x14ac:dyDescent="0.25">
      <c r="M551">
        <v>702</v>
      </c>
    </row>
    <row r="552" spans="13:13" x14ac:dyDescent="0.25">
      <c r="M552">
        <v>707</v>
      </c>
    </row>
    <row r="553" spans="13:13" x14ac:dyDescent="0.25">
      <c r="M553">
        <v>712</v>
      </c>
    </row>
    <row r="554" spans="13:13" x14ac:dyDescent="0.25">
      <c r="M554">
        <v>717</v>
      </c>
    </row>
    <row r="555" spans="13:13" x14ac:dyDescent="0.25">
      <c r="M555">
        <v>688</v>
      </c>
    </row>
    <row r="556" spans="13:13" x14ac:dyDescent="0.25">
      <c r="M556">
        <v>693</v>
      </c>
    </row>
    <row r="557" spans="13:13" x14ac:dyDescent="0.25">
      <c r="M557">
        <v>698</v>
      </c>
    </row>
    <row r="558" spans="13:13" x14ac:dyDescent="0.25">
      <c r="M558">
        <v>703</v>
      </c>
    </row>
    <row r="559" spans="13:13" x14ac:dyDescent="0.25">
      <c r="M559">
        <v>708</v>
      </c>
    </row>
    <row r="560" spans="13:13" x14ac:dyDescent="0.25">
      <c r="M560">
        <v>713</v>
      </c>
    </row>
    <row r="561" spans="13:13" x14ac:dyDescent="0.25">
      <c r="M561">
        <v>718</v>
      </c>
    </row>
    <row r="562" spans="13:13" x14ac:dyDescent="0.25">
      <c r="M562">
        <v>689</v>
      </c>
    </row>
    <row r="563" spans="13:13" x14ac:dyDescent="0.25">
      <c r="M563">
        <v>694</v>
      </c>
    </row>
    <row r="564" spans="13:13" x14ac:dyDescent="0.25">
      <c r="M564">
        <v>699</v>
      </c>
    </row>
    <row r="565" spans="13:13" x14ac:dyDescent="0.25">
      <c r="M565">
        <v>704</v>
      </c>
    </row>
    <row r="566" spans="13:13" x14ac:dyDescent="0.25">
      <c r="M566">
        <v>709</v>
      </c>
    </row>
    <row r="567" spans="13:13" x14ac:dyDescent="0.25">
      <c r="M567">
        <v>714</v>
      </c>
    </row>
    <row r="568" spans="13:13" x14ac:dyDescent="0.25">
      <c r="M568">
        <v>719</v>
      </c>
    </row>
    <row r="569" spans="13:13" x14ac:dyDescent="0.25">
      <c r="M569">
        <v>690</v>
      </c>
    </row>
    <row r="570" spans="13:13" x14ac:dyDescent="0.25">
      <c r="M570">
        <v>695</v>
      </c>
    </row>
    <row r="571" spans="13:13" x14ac:dyDescent="0.25">
      <c r="M571">
        <v>700</v>
      </c>
    </row>
    <row r="572" spans="13:13" x14ac:dyDescent="0.25">
      <c r="M572">
        <v>705</v>
      </c>
    </row>
    <row r="573" spans="13:13" x14ac:dyDescent="0.25">
      <c r="M573">
        <v>710</v>
      </c>
    </row>
    <row r="574" spans="13:13" x14ac:dyDescent="0.25">
      <c r="M574">
        <v>715</v>
      </c>
    </row>
    <row r="575" spans="13:13" x14ac:dyDescent="0.25">
      <c r="M575">
        <v>720</v>
      </c>
    </row>
    <row r="576" spans="13:13" x14ac:dyDescent="0.25">
      <c r="M576">
        <v>691</v>
      </c>
    </row>
    <row r="577" spans="13:13" x14ac:dyDescent="0.25">
      <c r="M577">
        <v>696</v>
      </c>
    </row>
    <row r="578" spans="13:13" x14ac:dyDescent="0.25">
      <c r="M578">
        <v>701</v>
      </c>
    </row>
    <row r="579" spans="13:13" x14ac:dyDescent="0.25">
      <c r="M579">
        <v>706</v>
      </c>
    </row>
    <row r="580" spans="13:13" x14ac:dyDescent="0.25">
      <c r="M580">
        <v>711</v>
      </c>
    </row>
    <row r="581" spans="13:13" x14ac:dyDescent="0.25">
      <c r="M581">
        <v>716</v>
      </c>
    </row>
    <row r="582" spans="13:13" x14ac:dyDescent="0.25">
      <c r="M582">
        <v>721</v>
      </c>
    </row>
    <row r="583" spans="13:13" x14ac:dyDescent="0.25">
      <c r="M583">
        <v>692</v>
      </c>
    </row>
    <row r="584" spans="13:13" x14ac:dyDescent="0.25">
      <c r="M584">
        <v>697</v>
      </c>
    </row>
    <row r="585" spans="13:13" x14ac:dyDescent="0.25">
      <c r="M585">
        <v>702</v>
      </c>
    </row>
    <row r="586" spans="13:13" x14ac:dyDescent="0.25">
      <c r="M586">
        <v>707</v>
      </c>
    </row>
    <row r="587" spans="13:13" x14ac:dyDescent="0.25">
      <c r="M587">
        <v>712</v>
      </c>
    </row>
    <row r="588" spans="13:13" x14ac:dyDescent="0.25">
      <c r="M588">
        <v>717</v>
      </c>
    </row>
    <row r="589" spans="13:13" x14ac:dyDescent="0.25">
      <c r="M589">
        <v>722</v>
      </c>
    </row>
    <row r="590" spans="13:13" x14ac:dyDescent="0.25">
      <c r="M590">
        <v>693</v>
      </c>
    </row>
    <row r="591" spans="13:13" x14ac:dyDescent="0.25">
      <c r="M591">
        <v>698</v>
      </c>
    </row>
    <row r="592" spans="13:13" x14ac:dyDescent="0.25">
      <c r="M592">
        <v>703</v>
      </c>
    </row>
    <row r="593" spans="13:13" x14ac:dyDescent="0.25">
      <c r="M593">
        <v>708</v>
      </c>
    </row>
    <row r="594" spans="13:13" x14ac:dyDescent="0.25">
      <c r="M594">
        <v>713</v>
      </c>
    </row>
    <row r="595" spans="13:13" x14ac:dyDescent="0.25">
      <c r="M595">
        <v>718</v>
      </c>
    </row>
    <row r="596" spans="13:13" x14ac:dyDescent="0.25">
      <c r="M596">
        <v>723</v>
      </c>
    </row>
    <row r="597" spans="13:13" x14ac:dyDescent="0.25">
      <c r="M597">
        <v>694</v>
      </c>
    </row>
    <row r="598" spans="13:13" x14ac:dyDescent="0.25">
      <c r="M598">
        <v>699</v>
      </c>
    </row>
    <row r="599" spans="13:13" x14ac:dyDescent="0.25">
      <c r="M599">
        <v>704</v>
      </c>
    </row>
    <row r="600" spans="13:13" x14ac:dyDescent="0.25">
      <c r="M600">
        <v>709</v>
      </c>
    </row>
    <row r="601" spans="13:13" x14ac:dyDescent="0.25">
      <c r="M601">
        <v>714</v>
      </c>
    </row>
    <row r="602" spans="13:13" x14ac:dyDescent="0.25">
      <c r="M602">
        <v>719</v>
      </c>
    </row>
    <row r="603" spans="13:13" x14ac:dyDescent="0.25">
      <c r="M603">
        <v>724</v>
      </c>
    </row>
    <row r="604" spans="13:13" x14ac:dyDescent="0.25">
      <c r="M604">
        <v>695</v>
      </c>
    </row>
    <row r="605" spans="13:13" x14ac:dyDescent="0.25">
      <c r="M605">
        <v>700</v>
      </c>
    </row>
    <row r="606" spans="13:13" x14ac:dyDescent="0.25">
      <c r="M606">
        <v>705</v>
      </c>
    </row>
    <row r="607" spans="13:13" x14ac:dyDescent="0.25">
      <c r="M607">
        <v>710</v>
      </c>
    </row>
    <row r="608" spans="13:13" x14ac:dyDescent="0.25">
      <c r="M608">
        <v>715</v>
      </c>
    </row>
    <row r="609" spans="13:13" x14ac:dyDescent="0.25">
      <c r="M609">
        <v>720</v>
      </c>
    </row>
    <row r="610" spans="13:13" x14ac:dyDescent="0.25">
      <c r="M610">
        <v>725</v>
      </c>
    </row>
    <row r="611" spans="13:13" x14ac:dyDescent="0.25">
      <c r="M611">
        <v>696</v>
      </c>
    </row>
    <row r="612" spans="13:13" x14ac:dyDescent="0.25">
      <c r="M612">
        <v>701</v>
      </c>
    </row>
    <row r="613" spans="13:13" x14ac:dyDescent="0.25">
      <c r="M613">
        <v>706</v>
      </c>
    </row>
    <row r="614" spans="13:13" x14ac:dyDescent="0.25">
      <c r="M614">
        <v>711</v>
      </c>
    </row>
    <row r="615" spans="13:13" x14ac:dyDescent="0.25">
      <c r="M615">
        <v>716</v>
      </c>
    </row>
    <row r="616" spans="13:13" x14ac:dyDescent="0.25">
      <c r="M616">
        <v>721</v>
      </c>
    </row>
    <row r="617" spans="13:13" x14ac:dyDescent="0.25">
      <c r="M617">
        <v>726</v>
      </c>
    </row>
    <row r="618" spans="13:13" x14ac:dyDescent="0.25">
      <c r="M618">
        <v>697</v>
      </c>
    </row>
    <row r="619" spans="13:13" x14ac:dyDescent="0.25">
      <c r="M619">
        <v>702</v>
      </c>
    </row>
    <row r="620" spans="13:13" x14ac:dyDescent="0.25">
      <c r="M620">
        <v>707</v>
      </c>
    </row>
    <row r="621" spans="13:13" x14ac:dyDescent="0.25">
      <c r="M621">
        <v>712</v>
      </c>
    </row>
    <row r="622" spans="13:13" x14ac:dyDescent="0.25">
      <c r="M622">
        <v>717</v>
      </c>
    </row>
    <row r="623" spans="13:13" x14ac:dyDescent="0.25">
      <c r="M623">
        <v>722</v>
      </c>
    </row>
    <row r="624" spans="13:13" x14ac:dyDescent="0.25">
      <c r="M624">
        <v>727</v>
      </c>
    </row>
    <row r="625" spans="13:13" x14ac:dyDescent="0.25">
      <c r="M625">
        <v>698</v>
      </c>
    </row>
    <row r="626" spans="13:13" x14ac:dyDescent="0.25">
      <c r="M626">
        <v>703</v>
      </c>
    </row>
    <row r="627" spans="13:13" x14ac:dyDescent="0.25">
      <c r="M627">
        <v>708</v>
      </c>
    </row>
    <row r="628" spans="13:13" x14ac:dyDescent="0.25">
      <c r="M628">
        <v>713</v>
      </c>
    </row>
    <row r="629" spans="13:13" x14ac:dyDescent="0.25">
      <c r="M629">
        <v>718</v>
      </c>
    </row>
    <row r="630" spans="13:13" x14ac:dyDescent="0.25">
      <c r="M630">
        <v>723</v>
      </c>
    </row>
    <row r="631" spans="13:13" x14ac:dyDescent="0.25">
      <c r="M631">
        <v>728</v>
      </c>
    </row>
    <row r="632" spans="13:13" x14ac:dyDescent="0.25">
      <c r="M632">
        <v>699</v>
      </c>
    </row>
    <row r="633" spans="13:13" x14ac:dyDescent="0.25">
      <c r="M633">
        <v>704</v>
      </c>
    </row>
    <row r="634" spans="13:13" x14ac:dyDescent="0.25">
      <c r="M634">
        <v>709</v>
      </c>
    </row>
    <row r="635" spans="13:13" x14ac:dyDescent="0.25">
      <c r="M635">
        <v>714</v>
      </c>
    </row>
    <row r="636" spans="13:13" x14ac:dyDescent="0.25">
      <c r="M636">
        <v>719</v>
      </c>
    </row>
    <row r="637" spans="13:13" x14ac:dyDescent="0.25">
      <c r="M637">
        <v>724</v>
      </c>
    </row>
    <row r="638" spans="13:13" x14ac:dyDescent="0.25">
      <c r="M638">
        <v>729</v>
      </c>
    </row>
    <row r="639" spans="13:13" x14ac:dyDescent="0.25">
      <c r="M639">
        <v>700</v>
      </c>
    </row>
    <row r="640" spans="13:13" x14ac:dyDescent="0.25">
      <c r="M640">
        <v>705</v>
      </c>
    </row>
    <row r="641" spans="13:13" x14ac:dyDescent="0.25">
      <c r="M641">
        <v>710</v>
      </c>
    </row>
    <row r="642" spans="13:13" x14ac:dyDescent="0.25">
      <c r="M642">
        <v>715</v>
      </c>
    </row>
    <row r="643" spans="13:13" x14ac:dyDescent="0.25">
      <c r="M643">
        <v>720</v>
      </c>
    </row>
    <row r="644" spans="13:13" x14ac:dyDescent="0.25">
      <c r="M644">
        <v>725</v>
      </c>
    </row>
    <row r="645" spans="13:13" x14ac:dyDescent="0.25">
      <c r="M645">
        <v>730</v>
      </c>
    </row>
    <row r="646" spans="13:13" x14ac:dyDescent="0.25">
      <c r="M646">
        <v>701</v>
      </c>
    </row>
    <row r="647" spans="13:13" x14ac:dyDescent="0.25">
      <c r="M647">
        <v>706</v>
      </c>
    </row>
    <row r="648" spans="13:13" x14ac:dyDescent="0.25">
      <c r="M648">
        <v>711</v>
      </c>
    </row>
    <row r="649" spans="13:13" x14ac:dyDescent="0.25">
      <c r="M649">
        <v>716</v>
      </c>
    </row>
    <row r="650" spans="13:13" x14ac:dyDescent="0.25">
      <c r="M650">
        <v>721</v>
      </c>
    </row>
    <row r="651" spans="13:13" x14ac:dyDescent="0.25">
      <c r="M651">
        <v>726</v>
      </c>
    </row>
    <row r="652" spans="13:13" x14ac:dyDescent="0.25">
      <c r="M652">
        <v>731</v>
      </c>
    </row>
    <row r="653" spans="13:13" x14ac:dyDescent="0.25">
      <c r="M653">
        <v>702</v>
      </c>
    </row>
    <row r="654" spans="13:13" x14ac:dyDescent="0.25">
      <c r="M654">
        <v>707</v>
      </c>
    </row>
    <row r="655" spans="13:13" x14ac:dyDescent="0.25">
      <c r="M655">
        <v>712</v>
      </c>
    </row>
    <row r="656" spans="13:13" x14ac:dyDescent="0.25">
      <c r="M656">
        <v>717</v>
      </c>
    </row>
    <row r="657" spans="13:13" x14ac:dyDescent="0.25">
      <c r="M657">
        <v>722</v>
      </c>
    </row>
    <row r="658" spans="13:13" x14ac:dyDescent="0.25">
      <c r="M658">
        <v>727</v>
      </c>
    </row>
    <row r="659" spans="13:13" x14ac:dyDescent="0.25">
      <c r="M659">
        <v>732</v>
      </c>
    </row>
    <row r="660" spans="13:13" x14ac:dyDescent="0.25">
      <c r="M660">
        <v>703</v>
      </c>
    </row>
    <row r="661" spans="13:13" x14ac:dyDescent="0.25">
      <c r="M661">
        <v>708</v>
      </c>
    </row>
    <row r="662" spans="13:13" x14ac:dyDescent="0.25">
      <c r="M662">
        <v>713</v>
      </c>
    </row>
    <row r="663" spans="13:13" x14ac:dyDescent="0.25">
      <c r="M663">
        <v>718</v>
      </c>
    </row>
    <row r="664" spans="13:13" x14ac:dyDescent="0.25">
      <c r="M664">
        <v>723</v>
      </c>
    </row>
    <row r="665" spans="13:13" x14ac:dyDescent="0.25">
      <c r="M665">
        <v>728</v>
      </c>
    </row>
    <row r="666" spans="13:13" x14ac:dyDescent="0.25">
      <c r="M666">
        <v>733</v>
      </c>
    </row>
    <row r="667" spans="13:13" x14ac:dyDescent="0.25">
      <c r="M667">
        <v>704</v>
      </c>
    </row>
    <row r="668" spans="13:13" x14ac:dyDescent="0.25">
      <c r="M668">
        <v>709</v>
      </c>
    </row>
    <row r="669" spans="13:13" x14ac:dyDescent="0.25">
      <c r="M669">
        <v>714</v>
      </c>
    </row>
    <row r="670" spans="13:13" x14ac:dyDescent="0.25">
      <c r="M670">
        <v>719</v>
      </c>
    </row>
    <row r="671" spans="13:13" x14ac:dyDescent="0.25">
      <c r="M671">
        <v>724</v>
      </c>
    </row>
    <row r="672" spans="13:13" x14ac:dyDescent="0.25">
      <c r="M672">
        <v>729</v>
      </c>
    </row>
    <row r="673" spans="13:13" x14ac:dyDescent="0.25">
      <c r="M673">
        <v>734</v>
      </c>
    </row>
    <row r="674" spans="13:13" x14ac:dyDescent="0.25">
      <c r="M674">
        <v>705</v>
      </c>
    </row>
    <row r="675" spans="13:13" x14ac:dyDescent="0.25">
      <c r="M675">
        <v>710</v>
      </c>
    </row>
    <row r="676" spans="13:13" x14ac:dyDescent="0.25">
      <c r="M676">
        <v>715</v>
      </c>
    </row>
    <row r="677" spans="13:13" x14ac:dyDescent="0.25">
      <c r="M677">
        <v>720</v>
      </c>
    </row>
    <row r="678" spans="13:13" x14ac:dyDescent="0.25">
      <c r="M678">
        <v>725</v>
      </c>
    </row>
    <row r="679" spans="13:13" x14ac:dyDescent="0.25">
      <c r="M679">
        <v>730</v>
      </c>
    </row>
    <row r="680" spans="13:13" x14ac:dyDescent="0.25">
      <c r="M680">
        <v>735</v>
      </c>
    </row>
    <row r="681" spans="13:13" x14ac:dyDescent="0.25">
      <c r="M681">
        <v>706</v>
      </c>
    </row>
    <row r="682" spans="13:13" x14ac:dyDescent="0.25">
      <c r="M682">
        <v>711</v>
      </c>
    </row>
    <row r="683" spans="13:13" x14ac:dyDescent="0.25">
      <c r="M683">
        <v>716</v>
      </c>
    </row>
    <row r="684" spans="13:13" x14ac:dyDescent="0.25">
      <c r="M684">
        <v>721</v>
      </c>
    </row>
    <row r="685" spans="13:13" x14ac:dyDescent="0.25">
      <c r="M685">
        <v>726</v>
      </c>
    </row>
    <row r="686" spans="13:13" x14ac:dyDescent="0.25">
      <c r="M686">
        <v>731</v>
      </c>
    </row>
    <row r="687" spans="13:13" x14ac:dyDescent="0.25">
      <c r="M687">
        <v>736</v>
      </c>
    </row>
    <row r="688" spans="13:13" x14ac:dyDescent="0.25">
      <c r="M688">
        <v>707</v>
      </c>
    </row>
    <row r="689" spans="13:13" x14ac:dyDescent="0.25">
      <c r="M689">
        <v>712</v>
      </c>
    </row>
    <row r="690" spans="13:13" x14ac:dyDescent="0.25">
      <c r="M690">
        <v>717</v>
      </c>
    </row>
    <row r="691" spans="13:13" x14ac:dyDescent="0.25">
      <c r="M691">
        <v>722</v>
      </c>
    </row>
    <row r="692" spans="13:13" x14ac:dyDescent="0.25">
      <c r="M692">
        <v>727</v>
      </c>
    </row>
    <row r="693" spans="13:13" x14ac:dyDescent="0.25">
      <c r="M693">
        <v>732</v>
      </c>
    </row>
    <row r="694" spans="13:13" x14ac:dyDescent="0.25">
      <c r="M694">
        <v>737</v>
      </c>
    </row>
    <row r="695" spans="13:13" x14ac:dyDescent="0.25">
      <c r="M695">
        <v>708</v>
      </c>
    </row>
    <row r="696" spans="13:13" x14ac:dyDescent="0.25">
      <c r="M696">
        <v>713</v>
      </c>
    </row>
    <row r="697" spans="13:13" x14ac:dyDescent="0.25">
      <c r="M697">
        <v>718</v>
      </c>
    </row>
    <row r="698" spans="13:13" x14ac:dyDescent="0.25">
      <c r="M698">
        <v>723</v>
      </c>
    </row>
    <row r="699" spans="13:13" x14ac:dyDescent="0.25">
      <c r="M699">
        <v>728</v>
      </c>
    </row>
    <row r="700" spans="13:13" x14ac:dyDescent="0.25">
      <c r="M700">
        <v>733</v>
      </c>
    </row>
    <row r="701" spans="13:13" x14ac:dyDescent="0.25">
      <c r="M701">
        <v>738</v>
      </c>
    </row>
    <row r="702" spans="13:13" x14ac:dyDescent="0.25">
      <c r="M702">
        <v>709</v>
      </c>
    </row>
    <row r="703" spans="13:13" x14ac:dyDescent="0.25">
      <c r="M703">
        <v>714</v>
      </c>
    </row>
    <row r="704" spans="13:13" x14ac:dyDescent="0.25">
      <c r="M704">
        <v>719</v>
      </c>
    </row>
    <row r="705" spans="13:13" x14ac:dyDescent="0.25">
      <c r="M705">
        <v>724</v>
      </c>
    </row>
    <row r="706" spans="13:13" x14ac:dyDescent="0.25">
      <c r="M706">
        <v>729</v>
      </c>
    </row>
    <row r="707" spans="13:13" x14ac:dyDescent="0.25">
      <c r="M707">
        <v>734</v>
      </c>
    </row>
    <row r="708" spans="13:13" x14ac:dyDescent="0.25">
      <c r="M708">
        <v>739</v>
      </c>
    </row>
    <row r="709" spans="13:13" x14ac:dyDescent="0.25">
      <c r="M709">
        <v>710</v>
      </c>
    </row>
    <row r="710" spans="13:13" x14ac:dyDescent="0.25">
      <c r="M710">
        <v>715</v>
      </c>
    </row>
    <row r="711" spans="13:13" x14ac:dyDescent="0.25">
      <c r="M711">
        <v>720</v>
      </c>
    </row>
    <row r="712" spans="13:13" x14ac:dyDescent="0.25">
      <c r="M712">
        <v>725</v>
      </c>
    </row>
    <row r="713" spans="13:13" x14ac:dyDescent="0.25">
      <c r="M713">
        <v>730</v>
      </c>
    </row>
    <row r="714" spans="13:13" x14ac:dyDescent="0.25">
      <c r="M714">
        <v>735</v>
      </c>
    </row>
    <row r="715" spans="13:13" x14ac:dyDescent="0.25">
      <c r="M715">
        <v>740</v>
      </c>
    </row>
    <row r="716" spans="13:13" x14ac:dyDescent="0.25">
      <c r="M716">
        <v>711</v>
      </c>
    </row>
    <row r="717" spans="13:13" x14ac:dyDescent="0.25">
      <c r="M717">
        <v>716</v>
      </c>
    </row>
    <row r="718" spans="13:13" x14ac:dyDescent="0.25">
      <c r="M718">
        <v>721</v>
      </c>
    </row>
    <row r="719" spans="13:13" x14ac:dyDescent="0.25">
      <c r="M719">
        <v>726</v>
      </c>
    </row>
    <row r="720" spans="13:13" x14ac:dyDescent="0.25">
      <c r="M720">
        <v>731</v>
      </c>
    </row>
    <row r="721" spans="13:13" x14ac:dyDescent="0.25">
      <c r="M721">
        <v>736</v>
      </c>
    </row>
    <row r="722" spans="13:13" x14ac:dyDescent="0.25">
      <c r="M722">
        <v>741</v>
      </c>
    </row>
    <row r="723" spans="13:13" x14ac:dyDescent="0.25">
      <c r="M723">
        <v>712</v>
      </c>
    </row>
    <row r="724" spans="13:13" x14ac:dyDescent="0.25">
      <c r="M724">
        <v>717</v>
      </c>
    </row>
    <row r="725" spans="13:13" x14ac:dyDescent="0.25">
      <c r="M725">
        <v>722</v>
      </c>
    </row>
    <row r="726" spans="13:13" x14ac:dyDescent="0.25">
      <c r="M726">
        <v>727</v>
      </c>
    </row>
    <row r="727" spans="13:13" x14ac:dyDescent="0.25">
      <c r="M727">
        <v>732</v>
      </c>
    </row>
    <row r="728" spans="13:13" x14ac:dyDescent="0.25">
      <c r="M728">
        <v>737</v>
      </c>
    </row>
    <row r="729" spans="13:13" x14ac:dyDescent="0.25">
      <c r="M729">
        <v>742</v>
      </c>
    </row>
    <row r="730" spans="13:13" x14ac:dyDescent="0.25">
      <c r="M730">
        <v>713</v>
      </c>
    </row>
    <row r="731" spans="13:13" x14ac:dyDescent="0.25">
      <c r="M731">
        <v>718</v>
      </c>
    </row>
    <row r="732" spans="13:13" x14ac:dyDescent="0.25">
      <c r="M732">
        <v>723</v>
      </c>
    </row>
    <row r="733" spans="13:13" x14ac:dyDescent="0.25">
      <c r="M733">
        <v>728</v>
      </c>
    </row>
    <row r="734" spans="13:13" x14ac:dyDescent="0.25">
      <c r="M734">
        <v>733</v>
      </c>
    </row>
    <row r="735" spans="13:13" x14ac:dyDescent="0.25">
      <c r="M735">
        <v>738</v>
      </c>
    </row>
    <row r="736" spans="13:13" x14ac:dyDescent="0.25">
      <c r="M736">
        <v>743</v>
      </c>
    </row>
    <row r="737" spans="13:13" x14ac:dyDescent="0.25">
      <c r="M737">
        <v>714</v>
      </c>
    </row>
    <row r="738" spans="13:13" x14ac:dyDescent="0.25">
      <c r="M738">
        <v>719</v>
      </c>
    </row>
    <row r="739" spans="13:13" x14ac:dyDescent="0.25">
      <c r="M739">
        <v>724</v>
      </c>
    </row>
    <row r="740" spans="13:13" x14ac:dyDescent="0.25">
      <c r="M740">
        <v>729</v>
      </c>
    </row>
    <row r="741" spans="13:13" x14ac:dyDescent="0.25">
      <c r="M741">
        <v>734</v>
      </c>
    </row>
    <row r="742" spans="13:13" x14ac:dyDescent="0.25">
      <c r="M742">
        <v>739</v>
      </c>
    </row>
    <row r="743" spans="13:13" x14ac:dyDescent="0.25">
      <c r="M743">
        <v>744</v>
      </c>
    </row>
    <row r="744" spans="13:13" x14ac:dyDescent="0.25">
      <c r="M744">
        <v>715</v>
      </c>
    </row>
    <row r="745" spans="13:13" x14ac:dyDescent="0.25">
      <c r="M745">
        <v>720</v>
      </c>
    </row>
    <row r="746" spans="13:13" x14ac:dyDescent="0.25">
      <c r="M746">
        <v>725</v>
      </c>
    </row>
    <row r="747" spans="13:13" x14ac:dyDescent="0.25">
      <c r="M747">
        <v>730</v>
      </c>
    </row>
    <row r="748" spans="13:13" x14ac:dyDescent="0.25">
      <c r="M748">
        <v>735</v>
      </c>
    </row>
    <row r="749" spans="13:13" x14ac:dyDescent="0.25">
      <c r="M749">
        <v>740</v>
      </c>
    </row>
    <row r="750" spans="13:13" x14ac:dyDescent="0.25">
      <c r="M750">
        <v>745</v>
      </c>
    </row>
    <row r="751" spans="13:13" x14ac:dyDescent="0.25">
      <c r="M751">
        <v>716</v>
      </c>
    </row>
    <row r="752" spans="13:13" x14ac:dyDescent="0.25">
      <c r="M752">
        <v>721</v>
      </c>
    </row>
    <row r="753" spans="13:13" x14ac:dyDescent="0.25">
      <c r="M753">
        <v>726</v>
      </c>
    </row>
    <row r="754" spans="13:13" x14ac:dyDescent="0.25">
      <c r="M754">
        <v>731</v>
      </c>
    </row>
    <row r="755" spans="13:13" x14ac:dyDescent="0.25">
      <c r="M755">
        <v>736</v>
      </c>
    </row>
    <row r="756" spans="13:13" x14ac:dyDescent="0.25">
      <c r="M756">
        <v>741</v>
      </c>
    </row>
    <row r="757" spans="13:13" x14ac:dyDescent="0.25">
      <c r="M757">
        <v>746</v>
      </c>
    </row>
    <row r="758" spans="13:13" x14ac:dyDescent="0.25">
      <c r="M758">
        <v>717</v>
      </c>
    </row>
    <row r="759" spans="13:13" x14ac:dyDescent="0.25">
      <c r="M759">
        <v>722</v>
      </c>
    </row>
    <row r="760" spans="13:13" x14ac:dyDescent="0.25">
      <c r="M760">
        <v>727</v>
      </c>
    </row>
    <row r="761" spans="13:13" x14ac:dyDescent="0.25">
      <c r="M761">
        <v>732</v>
      </c>
    </row>
    <row r="762" spans="13:13" x14ac:dyDescent="0.25">
      <c r="M762">
        <v>737</v>
      </c>
    </row>
    <row r="763" spans="13:13" x14ac:dyDescent="0.25">
      <c r="M763">
        <v>742</v>
      </c>
    </row>
    <row r="764" spans="13:13" x14ac:dyDescent="0.25">
      <c r="M764">
        <v>747</v>
      </c>
    </row>
    <row r="765" spans="13:13" x14ac:dyDescent="0.25">
      <c r="M765">
        <v>718</v>
      </c>
    </row>
    <row r="766" spans="13:13" x14ac:dyDescent="0.25">
      <c r="M766">
        <v>723</v>
      </c>
    </row>
    <row r="767" spans="13:13" x14ac:dyDescent="0.25">
      <c r="M767">
        <v>728</v>
      </c>
    </row>
    <row r="768" spans="13:13" x14ac:dyDescent="0.25">
      <c r="M768">
        <v>733</v>
      </c>
    </row>
    <row r="769" spans="13:13" x14ac:dyDescent="0.25">
      <c r="M769">
        <v>738</v>
      </c>
    </row>
    <row r="770" spans="13:13" x14ac:dyDescent="0.25">
      <c r="M770">
        <v>743</v>
      </c>
    </row>
    <row r="771" spans="13:13" x14ac:dyDescent="0.25">
      <c r="M771">
        <v>748</v>
      </c>
    </row>
    <row r="772" spans="13:13" x14ac:dyDescent="0.25">
      <c r="M772">
        <v>719</v>
      </c>
    </row>
    <row r="773" spans="13:13" x14ac:dyDescent="0.25">
      <c r="M773">
        <v>724</v>
      </c>
    </row>
    <row r="774" spans="13:13" x14ac:dyDescent="0.25">
      <c r="M774">
        <v>729</v>
      </c>
    </row>
    <row r="775" spans="13:13" x14ac:dyDescent="0.25">
      <c r="M775">
        <v>734</v>
      </c>
    </row>
    <row r="776" spans="13:13" x14ac:dyDescent="0.25">
      <c r="M776">
        <v>739</v>
      </c>
    </row>
    <row r="777" spans="13:13" x14ac:dyDescent="0.25">
      <c r="M777">
        <v>744</v>
      </c>
    </row>
    <row r="778" spans="13:13" x14ac:dyDescent="0.25">
      <c r="M778">
        <v>749</v>
      </c>
    </row>
    <row r="779" spans="13:13" x14ac:dyDescent="0.25">
      <c r="M779">
        <v>720</v>
      </c>
    </row>
    <row r="780" spans="13:13" x14ac:dyDescent="0.25">
      <c r="M780">
        <v>725</v>
      </c>
    </row>
    <row r="781" spans="13:13" x14ac:dyDescent="0.25">
      <c r="M781">
        <v>730</v>
      </c>
    </row>
    <row r="782" spans="13:13" x14ac:dyDescent="0.25">
      <c r="M782">
        <v>735</v>
      </c>
    </row>
    <row r="783" spans="13:13" x14ac:dyDescent="0.25">
      <c r="M783">
        <v>740</v>
      </c>
    </row>
    <row r="784" spans="13:13" x14ac:dyDescent="0.25">
      <c r="M784">
        <v>745</v>
      </c>
    </row>
    <row r="785" spans="13:13" x14ac:dyDescent="0.25">
      <c r="M785">
        <v>750</v>
      </c>
    </row>
    <row r="786" spans="13:13" x14ac:dyDescent="0.25">
      <c r="M786">
        <v>721</v>
      </c>
    </row>
    <row r="787" spans="13:13" x14ac:dyDescent="0.25">
      <c r="M787">
        <v>726</v>
      </c>
    </row>
    <row r="788" spans="13:13" x14ac:dyDescent="0.25">
      <c r="M788">
        <v>731</v>
      </c>
    </row>
    <row r="789" spans="13:13" x14ac:dyDescent="0.25">
      <c r="M789">
        <v>736</v>
      </c>
    </row>
    <row r="790" spans="13:13" x14ac:dyDescent="0.25">
      <c r="M790">
        <v>741</v>
      </c>
    </row>
    <row r="791" spans="13:13" x14ac:dyDescent="0.25">
      <c r="M791">
        <v>746</v>
      </c>
    </row>
    <row r="792" spans="13:13" x14ac:dyDescent="0.25">
      <c r="M792">
        <v>751</v>
      </c>
    </row>
    <row r="793" spans="13:13" x14ac:dyDescent="0.25">
      <c r="M793">
        <v>722</v>
      </c>
    </row>
    <row r="794" spans="13:13" x14ac:dyDescent="0.25">
      <c r="M794">
        <v>727</v>
      </c>
    </row>
    <row r="795" spans="13:13" x14ac:dyDescent="0.25">
      <c r="M795">
        <v>732</v>
      </c>
    </row>
    <row r="796" spans="13:13" x14ac:dyDescent="0.25">
      <c r="M796">
        <v>737</v>
      </c>
    </row>
    <row r="797" spans="13:13" x14ac:dyDescent="0.25">
      <c r="M797">
        <v>742</v>
      </c>
    </row>
    <row r="798" spans="13:13" x14ac:dyDescent="0.25">
      <c r="M798">
        <v>747</v>
      </c>
    </row>
    <row r="799" spans="13:13" x14ac:dyDescent="0.25">
      <c r="M799">
        <v>752</v>
      </c>
    </row>
    <row r="800" spans="13:13" x14ac:dyDescent="0.25">
      <c r="M800">
        <v>723</v>
      </c>
    </row>
    <row r="801" spans="13:13" x14ac:dyDescent="0.25">
      <c r="M801">
        <v>728</v>
      </c>
    </row>
    <row r="802" spans="13:13" x14ac:dyDescent="0.25">
      <c r="M802">
        <v>733</v>
      </c>
    </row>
    <row r="803" spans="13:13" x14ac:dyDescent="0.25">
      <c r="M803">
        <v>738</v>
      </c>
    </row>
    <row r="804" spans="13:13" x14ac:dyDescent="0.25">
      <c r="M804">
        <v>743</v>
      </c>
    </row>
    <row r="805" spans="13:13" x14ac:dyDescent="0.25">
      <c r="M805">
        <v>748</v>
      </c>
    </row>
    <row r="806" spans="13:13" x14ac:dyDescent="0.25">
      <c r="M806">
        <v>753</v>
      </c>
    </row>
    <row r="807" spans="13:13" x14ac:dyDescent="0.25">
      <c r="M807">
        <v>724</v>
      </c>
    </row>
    <row r="808" spans="13:13" x14ac:dyDescent="0.25">
      <c r="M808">
        <v>729</v>
      </c>
    </row>
    <row r="809" spans="13:13" x14ac:dyDescent="0.25">
      <c r="M809">
        <v>734</v>
      </c>
    </row>
    <row r="810" spans="13:13" x14ac:dyDescent="0.25">
      <c r="M810">
        <v>739</v>
      </c>
    </row>
    <row r="811" spans="13:13" x14ac:dyDescent="0.25">
      <c r="M811">
        <v>744</v>
      </c>
    </row>
    <row r="812" spans="13:13" x14ac:dyDescent="0.25">
      <c r="M812">
        <v>749</v>
      </c>
    </row>
    <row r="813" spans="13:13" x14ac:dyDescent="0.25">
      <c r="M813">
        <v>754</v>
      </c>
    </row>
    <row r="814" spans="13:13" x14ac:dyDescent="0.25">
      <c r="M814">
        <v>725</v>
      </c>
    </row>
    <row r="815" spans="13:13" x14ac:dyDescent="0.25">
      <c r="M815">
        <v>730</v>
      </c>
    </row>
    <row r="816" spans="13:13" x14ac:dyDescent="0.25">
      <c r="M816">
        <v>735</v>
      </c>
    </row>
    <row r="817" spans="13:13" x14ac:dyDescent="0.25">
      <c r="M817">
        <v>740</v>
      </c>
    </row>
    <row r="818" spans="13:13" x14ac:dyDescent="0.25">
      <c r="M818">
        <v>745</v>
      </c>
    </row>
    <row r="819" spans="13:13" x14ac:dyDescent="0.25">
      <c r="M819">
        <v>750</v>
      </c>
    </row>
    <row r="820" spans="13:13" x14ac:dyDescent="0.25">
      <c r="M820">
        <v>755</v>
      </c>
    </row>
    <row r="821" spans="13:13" x14ac:dyDescent="0.25">
      <c r="M821">
        <v>726</v>
      </c>
    </row>
    <row r="822" spans="13:13" x14ac:dyDescent="0.25">
      <c r="M822">
        <v>731</v>
      </c>
    </row>
    <row r="823" spans="13:13" x14ac:dyDescent="0.25">
      <c r="M823">
        <v>736</v>
      </c>
    </row>
    <row r="824" spans="13:13" x14ac:dyDescent="0.25">
      <c r="M824">
        <v>741</v>
      </c>
    </row>
    <row r="825" spans="13:13" x14ac:dyDescent="0.25">
      <c r="M825">
        <v>746</v>
      </c>
    </row>
    <row r="826" spans="13:13" x14ac:dyDescent="0.25">
      <c r="M826">
        <v>751</v>
      </c>
    </row>
    <row r="827" spans="13:13" x14ac:dyDescent="0.25">
      <c r="M827">
        <v>756</v>
      </c>
    </row>
    <row r="828" spans="13:13" x14ac:dyDescent="0.25">
      <c r="M828">
        <v>727</v>
      </c>
    </row>
    <row r="829" spans="13:13" x14ac:dyDescent="0.25">
      <c r="M829">
        <v>732</v>
      </c>
    </row>
    <row r="830" spans="13:13" x14ac:dyDescent="0.25">
      <c r="M830">
        <v>737</v>
      </c>
    </row>
    <row r="831" spans="13:13" x14ac:dyDescent="0.25">
      <c r="M831">
        <v>742</v>
      </c>
    </row>
    <row r="832" spans="13:13" x14ac:dyDescent="0.25">
      <c r="M832">
        <v>747</v>
      </c>
    </row>
    <row r="833" spans="13:13" x14ac:dyDescent="0.25">
      <c r="M833">
        <v>752</v>
      </c>
    </row>
    <row r="834" spans="13:13" x14ac:dyDescent="0.25">
      <c r="M834">
        <v>757</v>
      </c>
    </row>
    <row r="835" spans="13:13" x14ac:dyDescent="0.25">
      <c r="M835">
        <v>728</v>
      </c>
    </row>
    <row r="836" spans="13:13" x14ac:dyDescent="0.25">
      <c r="M836">
        <v>733</v>
      </c>
    </row>
    <row r="837" spans="13:13" x14ac:dyDescent="0.25">
      <c r="M837">
        <v>738</v>
      </c>
    </row>
    <row r="838" spans="13:13" x14ac:dyDescent="0.25">
      <c r="M838">
        <v>743</v>
      </c>
    </row>
    <row r="839" spans="13:13" x14ac:dyDescent="0.25">
      <c r="M839">
        <v>748</v>
      </c>
    </row>
    <row r="840" spans="13:13" x14ac:dyDescent="0.25">
      <c r="M840">
        <v>753</v>
      </c>
    </row>
    <row r="841" spans="13:13" x14ac:dyDescent="0.25">
      <c r="M841">
        <v>758</v>
      </c>
    </row>
    <row r="842" spans="13:13" x14ac:dyDescent="0.25">
      <c r="M842">
        <v>729</v>
      </c>
    </row>
    <row r="843" spans="13:13" x14ac:dyDescent="0.25">
      <c r="M843">
        <v>734</v>
      </c>
    </row>
    <row r="844" spans="13:13" x14ac:dyDescent="0.25">
      <c r="M844">
        <v>739</v>
      </c>
    </row>
    <row r="845" spans="13:13" x14ac:dyDescent="0.25">
      <c r="M845">
        <v>744</v>
      </c>
    </row>
    <row r="846" spans="13:13" x14ac:dyDescent="0.25">
      <c r="M846">
        <v>749</v>
      </c>
    </row>
    <row r="847" spans="13:13" x14ac:dyDescent="0.25">
      <c r="M847">
        <v>754</v>
      </c>
    </row>
    <row r="848" spans="13:13" x14ac:dyDescent="0.25">
      <c r="M848">
        <v>759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FDA2A95-F95C-49A7-9437-DC12C938F1B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Farmacologia</vt:lpstr>
      <vt:lpstr>FarmacologiaAvancada</vt:lpstr>
      <vt:lpstr>FarmacologiaAvancadaCalculo</vt:lpstr>
      <vt:lpstr>FATOR</vt:lpstr>
      <vt:lpstr>LEVEL</vt:lpstr>
      <vt:lpstr>NPOCAO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PAULO FERNANDO DOS PEREIRA</dc:creator>
  <cp:lastModifiedBy>PAULO FERNANDO DOS PEREIRA</cp:lastModifiedBy>
  <dcterms:created xsi:type="dcterms:W3CDTF">2025-08-15T00:38:49Z</dcterms:created>
  <dcterms:modified xsi:type="dcterms:W3CDTF">2025-08-21T19:52:59Z</dcterms:modified>
</cp:coreProperties>
</file>